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03博士文件\Paper\FakeNews\TextFeature\NC_for_code_reivew\"/>
    </mc:Choice>
  </mc:AlternateContent>
  <xr:revisionPtr revIDLastSave="0" documentId="13_ncr:1_{DB3B7FED-0A1B-48A2-85B9-A1C022DE496E}" xr6:coauthVersionLast="47" xr6:coauthVersionMax="47" xr10:uidLastSave="{00000000-0000-0000-0000-000000000000}"/>
  <bookViews>
    <workbookView xWindow="1152" yWindow="1152" windowWidth="23040" windowHeight="12120" activeTab="2" xr2:uid="{00000000-000D-0000-FFFF-FFFF00000000}"/>
  </bookViews>
  <sheets>
    <sheet name="Diff-TT" sheetId="1" r:id="rId1"/>
    <sheet name="Diff-MC" sheetId="2" r:id="rId2"/>
    <sheet name="Diff-A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5" i="2" l="1"/>
  <c r="K55" i="2"/>
  <c r="W54" i="2"/>
  <c r="K54" i="2"/>
  <c r="W53" i="2"/>
  <c r="K53" i="2"/>
  <c r="W52" i="2"/>
  <c r="K52" i="2"/>
  <c r="W51" i="2"/>
  <c r="K51" i="2"/>
  <c r="W50" i="2"/>
  <c r="K50" i="2"/>
  <c r="W49" i="2"/>
  <c r="K49" i="2"/>
  <c r="W48" i="2"/>
  <c r="K48" i="2"/>
  <c r="W47" i="2"/>
  <c r="K47" i="2"/>
  <c r="W46" i="2"/>
  <c r="K46" i="2"/>
  <c r="W45" i="2"/>
  <c r="K45" i="2"/>
  <c r="W44" i="2"/>
  <c r="K44" i="2"/>
  <c r="W43" i="2"/>
  <c r="K43" i="2"/>
  <c r="W42" i="2"/>
  <c r="K42" i="2"/>
  <c r="W41" i="2"/>
  <c r="K41" i="2"/>
  <c r="W40" i="2"/>
  <c r="K40" i="2"/>
  <c r="W39" i="2"/>
  <c r="K39" i="2"/>
  <c r="W38" i="2"/>
  <c r="K38" i="2"/>
  <c r="W37" i="2"/>
  <c r="K37" i="2"/>
  <c r="W36" i="2"/>
  <c r="K36" i="2"/>
  <c r="W35" i="2"/>
  <c r="K35" i="2"/>
  <c r="W34" i="2"/>
  <c r="K34" i="2"/>
  <c r="W33" i="2"/>
  <c r="K33" i="2"/>
  <c r="W32" i="2"/>
  <c r="K32" i="2"/>
  <c r="W31" i="2"/>
  <c r="K31" i="2"/>
  <c r="W30" i="2"/>
  <c r="K30" i="2"/>
  <c r="W29" i="2"/>
  <c r="K29" i="2"/>
  <c r="W28" i="2"/>
  <c r="K28" i="2"/>
  <c r="W27" i="2"/>
  <c r="K27" i="2"/>
  <c r="W26" i="2"/>
  <c r="K26" i="2"/>
  <c r="W25" i="2"/>
  <c r="K25" i="2"/>
  <c r="W24" i="2"/>
  <c r="K24" i="2"/>
  <c r="W23" i="2"/>
  <c r="K23" i="2"/>
  <c r="W22" i="2"/>
  <c r="K22" i="2"/>
  <c r="W21" i="2"/>
  <c r="K21" i="2"/>
  <c r="W20" i="2"/>
  <c r="K20" i="2"/>
  <c r="W19" i="2"/>
  <c r="K19" i="2"/>
  <c r="W18" i="2"/>
  <c r="K18" i="2"/>
  <c r="W17" i="2"/>
  <c r="K17" i="2"/>
  <c r="W16" i="2"/>
  <c r="K16" i="2"/>
  <c r="W15" i="2"/>
  <c r="K15" i="2"/>
  <c r="W14" i="2"/>
  <c r="K14" i="2"/>
  <c r="W13" i="2"/>
  <c r="K13" i="2"/>
  <c r="W12" i="2"/>
  <c r="K12" i="2"/>
  <c r="W11" i="2"/>
  <c r="K11" i="2"/>
  <c r="W10" i="2"/>
  <c r="K10" i="2"/>
  <c r="W9" i="2"/>
  <c r="K9" i="2"/>
  <c r="W8" i="2"/>
  <c r="K8" i="2"/>
  <c r="W7" i="2"/>
  <c r="K7" i="2"/>
  <c r="W6" i="2"/>
  <c r="K6" i="2"/>
  <c r="W5" i="2"/>
  <c r="K5" i="2"/>
  <c r="W4" i="2"/>
  <c r="K4" i="2"/>
  <c r="W3" i="2"/>
  <c r="K3" i="2"/>
  <c r="W55" i="1"/>
  <c r="K55" i="1"/>
  <c r="W54" i="1"/>
  <c r="K54" i="1"/>
  <c r="W53" i="1"/>
  <c r="K53" i="1"/>
  <c r="W52" i="1"/>
  <c r="K52" i="1"/>
  <c r="W51" i="1"/>
  <c r="K51" i="1"/>
  <c r="W50" i="1"/>
  <c r="K50" i="1"/>
  <c r="W49" i="1"/>
  <c r="K49" i="1"/>
  <c r="W48" i="1"/>
  <c r="K48" i="1"/>
  <c r="W47" i="1"/>
  <c r="K47" i="1"/>
  <c r="W46" i="1"/>
  <c r="K46" i="1"/>
  <c r="W45" i="1"/>
  <c r="K45" i="1"/>
  <c r="W44" i="1"/>
  <c r="K44" i="1"/>
  <c r="W43" i="1"/>
  <c r="K43" i="1"/>
  <c r="W42" i="1"/>
  <c r="K42" i="1"/>
  <c r="W41" i="1"/>
  <c r="K41" i="1"/>
  <c r="W40" i="1"/>
  <c r="K40" i="1"/>
  <c r="W39" i="1"/>
  <c r="K39" i="1"/>
  <c r="W38" i="1"/>
  <c r="K38" i="1"/>
  <c r="W37" i="1"/>
  <c r="K37" i="1"/>
  <c r="W36" i="1"/>
  <c r="K36" i="1"/>
  <c r="W35" i="1"/>
  <c r="K35" i="1"/>
  <c r="W34" i="1"/>
  <c r="K34" i="1"/>
  <c r="W33" i="1"/>
  <c r="K33" i="1"/>
  <c r="W32" i="1"/>
  <c r="K32" i="1"/>
  <c r="W31" i="1"/>
  <c r="K31" i="1"/>
  <c r="W30" i="1"/>
  <c r="K30" i="1"/>
  <c r="W29" i="1"/>
  <c r="K29" i="1"/>
  <c r="W28" i="1"/>
  <c r="K28" i="1"/>
  <c r="W27" i="1"/>
  <c r="K27" i="1"/>
  <c r="W26" i="1"/>
  <c r="K26" i="1"/>
  <c r="W25" i="1"/>
  <c r="K25" i="1"/>
  <c r="W24" i="1"/>
  <c r="K24" i="1"/>
  <c r="W23" i="1"/>
  <c r="K23" i="1"/>
  <c r="W22" i="1"/>
  <c r="K22" i="1"/>
  <c r="W21" i="1"/>
  <c r="K21" i="1"/>
  <c r="W20" i="1"/>
  <c r="K20" i="1"/>
  <c r="W19" i="1"/>
  <c r="K19" i="1"/>
  <c r="W18" i="1"/>
  <c r="K18" i="1"/>
  <c r="W17" i="1"/>
  <c r="K17" i="1"/>
  <c r="W16" i="1"/>
  <c r="K16" i="1"/>
  <c r="W15" i="1"/>
  <c r="K15" i="1"/>
  <c r="W14" i="1"/>
  <c r="K14" i="1"/>
  <c r="W13" i="1"/>
  <c r="K13" i="1"/>
  <c r="W12" i="1"/>
  <c r="K12" i="1"/>
  <c r="W11" i="1"/>
  <c r="K11" i="1"/>
  <c r="W10" i="1"/>
  <c r="K10" i="1"/>
  <c r="W9" i="1"/>
  <c r="K9" i="1"/>
  <c r="W8" i="1"/>
  <c r="K8" i="1"/>
  <c r="W7" i="1"/>
  <c r="K7" i="1"/>
  <c r="W6" i="1"/>
  <c r="K6" i="1"/>
  <c r="W5" i="1"/>
  <c r="K5" i="1"/>
  <c r="W4" i="1"/>
  <c r="K4" i="1"/>
  <c r="W3" i="1"/>
  <c r="K3" i="1"/>
</calcChain>
</file>

<file path=xl/sharedStrings.xml><?xml version="1.0" encoding="utf-8"?>
<sst xmlns="http://schemas.openxmlformats.org/spreadsheetml/2006/main" count="1158" uniqueCount="531">
  <si>
    <t>AI_FK</t>
  </si>
  <si>
    <t>HM_FK</t>
  </si>
  <si>
    <t>AI_RL</t>
  </si>
  <si>
    <t>HM_RL</t>
  </si>
  <si>
    <t>均值</t>
  </si>
  <si>
    <t>标准差</t>
  </si>
  <si>
    <t>均值±标准差</t>
  </si>
  <si>
    <t>Diff_FK</t>
    <phoneticPr fontId="1" type="noConversion"/>
  </si>
  <si>
    <t>Diff_RL</t>
    <phoneticPr fontId="1" type="noConversion"/>
  </si>
  <si>
    <t>Funct</t>
  </si>
  <si>
    <t>53.43±32.66</t>
  </si>
  <si>
    <t>53.42±44.13</t>
  </si>
  <si>
    <t>57.08±40.08</t>
  </si>
  <si>
    <t>58.84±53.57</t>
  </si>
  <si>
    <t>negate</t>
  </si>
  <si>
    <t>11.13±7.78</t>
  </si>
  <si>
    <t>12.57±11.00</t>
  </si>
  <si>
    <t>11.27±9.19</t>
  </si>
  <si>
    <t>13.28±13.17</t>
  </si>
  <si>
    <t>quant</t>
  </si>
  <si>
    <t>11.54±8.73</t>
  </si>
  <si>
    <t>10.01±9.64</t>
  </si>
  <si>
    <t>12.66±10.25</t>
  </si>
  <si>
    <t>11.74±11.76</t>
  </si>
  <si>
    <t>number</t>
  </si>
  <si>
    <t>6.88±10.31</t>
  </si>
  <si>
    <t>10.75±16.92</t>
  </si>
  <si>
    <t>8.85±14.97</t>
  </si>
  <si>
    <t>14.84±25.66</t>
  </si>
  <si>
    <t>TenseM</t>
  </si>
  <si>
    <t>30.29±20.26</t>
  </si>
  <si>
    <t>30.38±27.36</t>
  </si>
  <si>
    <t>32.56±25.68</t>
  </si>
  <si>
    <t>33.15±33.27</t>
  </si>
  <si>
    <t>PastM</t>
  </si>
  <si>
    <t>2.02±2.64</t>
  </si>
  <si>
    <t>2.85±3.72</t>
  </si>
  <si>
    <t>2.23±3.32</t>
  </si>
  <si>
    <t>3.01±4.16</t>
  </si>
  <si>
    <t>PresentM</t>
  </si>
  <si>
    <t>8.40±6.16</t>
  </si>
  <si>
    <t>6.23±6.38</t>
  </si>
  <si>
    <t>9.54±7.77</t>
  </si>
  <si>
    <t>7.30±8.35</t>
  </si>
  <si>
    <t>FutureM</t>
  </si>
  <si>
    <t>4.48±4.20</t>
  </si>
  <si>
    <t>4.84±5.38</t>
  </si>
  <si>
    <t>4.88±5.00</t>
  </si>
  <si>
    <t>5.35±6.28</t>
  </si>
  <si>
    <t>ProgM</t>
  </si>
  <si>
    <t>15.33±11.73</t>
  </si>
  <si>
    <t>16.38±15.69</t>
  </si>
  <si>
    <t>15.83±14.26</t>
  </si>
  <si>
    <t>17.38±18.76</t>
  </si>
  <si>
    <t>Social</t>
  </si>
  <si>
    <t>53.49±36.13</t>
  </si>
  <si>
    <t>43.78±42.16</t>
  </si>
  <si>
    <t>53.57±43.62</t>
  </si>
  <si>
    <t>46.12±51.54</t>
  </si>
  <si>
    <t>family</t>
  </si>
  <si>
    <t>4.79±9.14</t>
  </si>
  <si>
    <t>4.70±10.00</t>
  </si>
  <si>
    <t>4.58±10.34</t>
  </si>
  <si>
    <t>4.57±10.44</t>
  </si>
  <si>
    <t>friend</t>
  </si>
  <si>
    <t>0.63±1.45</t>
  </si>
  <si>
    <t>0.72±1.71</t>
  </si>
  <si>
    <t>0.68±1.68</t>
  </si>
  <si>
    <t>0.84±1.97</t>
  </si>
  <si>
    <t>humans</t>
  </si>
  <si>
    <t>12.90±10.85</t>
  </si>
  <si>
    <t>11.41±12.43</t>
  </si>
  <si>
    <t>12.09±11.56</t>
  </si>
  <si>
    <t>11.22±13.35</t>
  </si>
  <si>
    <t>Affect</t>
  </si>
  <si>
    <t>41.18±25.95</t>
  </si>
  <si>
    <t>27.35±23.43</t>
  </si>
  <si>
    <t>42.72±29.62</t>
  </si>
  <si>
    <t>29.69±28.52</t>
  </si>
  <si>
    <t>posemo</t>
  </si>
  <si>
    <t>17.90±13.75</t>
  </si>
  <si>
    <t>11.56±11.01</t>
  </si>
  <si>
    <t>21.87±17.01</t>
  </si>
  <si>
    <t>14.08±14.26</t>
  </si>
  <si>
    <t>negemo</t>
  </si>
  <si>
    <t>13.03±11.35</t>
  </si>
  <si>
    <t>9.86±9.88</t>
  </si>
  <si>
    <t>11.36±11.66</t>
  </si>
  <si>
    <t>9.27±11.35</t>
  </si>
  <si>
    <t>anx</t>
  </si>
  <si>
    <t>2.56±2.96</t>
  </si>
  <si>
    <t>1.77±2.38</t>
  </si>
  <si>
    <t>2.34±3.36</t>
  </si>
  <si>
    <t>1.72±2.66</t>
  </si>
  <si>
    <t>anger</t>
  </si>
  <si>
    <t>3.90±4.55</t>
  </si>
  <si>
    <t>2.89±3.95</t>
  </si>
  <si>
    <t>3.01±4.60</t>
  </si>
  <si>
    <t>2.52±4.36</t>
  </si>
  <si>
    <t>sad</t>
  </si>
  <si>
    <t>2.93±3.71</t>
  </si>
  <si>
    <t>1.95±2.84</t>
  </si>
  <si>
    <t>2.73±3.81</t>
  </si>
  <si>
    <t>1.83±3.12</t>
  </si>
  <si>
    <t>Cogmech</t>
  </si>
  <si>
    <t>139.86±81.47</t>
  </si>
  <si>
    <t>116.36±95.27</t>
  </si>
  <si>
    <t>145.43±93.64</t>
  </si>
  <si>
    <t>129.27±115.27</t>
  </si>
  <si>
    <t>insight</t>
  </si>
  <si>
    <t>34.25±22.79</t>
  </si>
  <si>
    <t>28.92±25.22</t>
  </si>
  <si>
    <t>34.79±26.19</t>
  </si>
  <si>
    <t>31.67±30.54</t>
  </si>
  <si>
    <t>cause</t>
  </si>
  <si>
    <t>18.07±11.95</t>
  </si>
  <si>
    <t>12.63±11.92</t>
  </si>
  <si>
    <t>17.62±13.65</t>
  </si>
  <si>
    <t>13.56±13.87</t>
  </si>
  <si>
    <t>discrep</t>
  </si>
  <si>
    <t>15.18±12.40</t>
  </si>
  <si>
    <t>13.94±12.80</t>
  </si>
  <si>
    <t>15.82±13.53</t>
  </si>
  <si>
    <t>15.38±15.67</t>
  </si>
  <si>
    <t>tentat</t>
  </si>
  <si>
    <t>16.98±13.47</t>
  </si>
  <si>
    <t>14.14±12.92</t>
  </si>
  <si>
    <t>16.55±13.96</t>
  </si>
  <si>
    <t>15.45±15.18</t>
  </si>
  <si>
    <t>certain</t>
  </si>
  <si>
    <t>9.81±7.26</t>
  </si>
  <si>
    <t>8.80±7.88</t>
  </si>
  <si>
    <t>9.82±7.81</t>
  </si>
  <si>
    <t>9.64±9.57</t>
  </si>
  <si>
    <t>incl</t>
  </si>
  <si>
    <t>36.44±22.30</t>
  </si>
  <si>
    <t>27.08±24.43</t>
  </si>
  <si>
    <t>40.49±26.50</t>
  </si>
  <si>
    <t>31.49±30.35</t>
  </si>
  <si>
    <t>excl</t>
  </si>
  <si>
    <t>9.58±8.23</t>
  </si>
  <si>
    <t>13.12±12.66</t>
  </si>
  <si>
    <t>9.56±9.47</t>
  </si>
  <si>
    <t>13.66±14.88</t>
  </si>
  <si>
    <t>inhib</t>
  </si>
  <si>
    <t>7.43±6.69</t>
  </si>
  <si>
    <t>4.93±5.50</t>
  </si>
  <si>
    <t>7.33±7.05</t>
  </si>
  <si>
    <t>5.63±7.73</t>
  </si>
  <si>
    <t>Percept</t>
  </si>
  <si>
    <t>9.44±8.13</t>
  </si>
  <si>
    <t>8.99±9.19</t>
  </si>
  <si>
    <t>10.98±10.69</t>
  </si>
  <si>
    <t>11.07±13.42</t>
  </si>
  <si>
    <t>see</t>
  </si>
  <si>
    <t>2.98±4.34</t>
  </si>
  <si>
    <t>2.67±3.75</t>
  </si>
  <si>
    <t>3.48±4.54</t>
  </si>
  <si>
    <t>3.31±5.34</t>
  </si>
  <si>
    <t>hear</t>
  </si>
  <si>
    <t>2.24±2.84</t>
  </si>
  <si>
    <t>3.27±4.46</t>
  </si>
  <si>
    <t>2.59±4.21</t>
  </si>
  <si>
    <t>3.74±6.42</t>
  </si>
  <si>
    <t>feel</t>
  </si>
  <si>
    <t>1.59±2.35</t>
  </si>
  <si>
    <t>1.52±2.41</t>
  </si>
  <si>
    <t>1.82±3.87</t>
  </si>
  <si>
    <t>1.96±3.22</t>
  </si>
  <si>
    <t>Bio</t>
  </si>
  <si>
    <t>10.18±18.86</t>
  </si>
  <si>
    <t>9.73±18.04</t>
  </si>
  <si>
    <t>10.02±18.91</t>
  </si>
  <si>
    <t>11.10±20.67</t>
  </si>
  <si>
    <t>body</t>
  </si>
  <si>
    <t>2.81±5.93</t>
  </si>
  <si>
    <t>3.09±5.57</t>
  </si>
  <si>
    <t>2.83±6.17</t>
  </si>
  <si>
    <t>3.78±7.19</t>
  </si>
  <si>
    <t>health</t>
  </si>
  <si>
    <t>4.57±11.88</t>
  </si>
  <si>
    <t>3.64±10.20</t>
  </si>
  <si>
    <t>4.44±11.06</t>
  </si>
  <si>
    <t>3.92±11.24</t>
  </si>
  <si>
    <t>sexual</t>
  </si>
  <si>
    <t>1.80±4.46</t>
  </si>
  <si>
    <t>1.35±3.17</t>
  </si>
  <si>
    <t>1.26±3.08</t>
  </si>
  <si>
    <t>1.15±2.75</t>
  </si>
  <si>
    <t>ingest</t>
  </si>
  <si>
    <t>1.50±5.68</t>
  </si>
  <si>
    <t>2.03±6.82</t>
  </si>
  <si>
    <t>1.85±6.37</t>
  </si>
  <si>
    <t>2.77±7.96</t>
  </si>
  <si>
    <t>Relativ</t>
  </si>
  <si>
    <t>74.64±45.71</t>
  </si>
  <si>
    <t>67.57±59.05</t>
  </si>
  <si>
    <t>84.54±60.33</t>
  </si>
  <si>
    <t>79.43±75.54</t>
  </si>
  <si>
    <t>motion</t>
  </si>
  <si>
    <t>15.15±11.38</t>
  </si>
  <si>
    <t>15.00±14.26</t>
  </si>
  <si>
    <t>18.02±14.39</t>
  </si>
  <si>
    <t>17.88±18.21</t>
  </si>
  <si>
    <t>space</t>
  </si>
  <si>
    <t>39.34±25.86</t>
  </si>
  <si>
    <t>33.14±30.88</t>
  </si>
  <si>
    <t>44.11±33.27</t>
  </si>
  <si>
    <t>38.76±38.42</t>
  </si>
  <si>
    <t>time</t>
  </si>
  <si>
    <t>25.93±18.07</t>
  </si>
  <si>
    <t>25.60±23.23</t>
  </si>
  <si>
    <t>28.22±22.82</t>
  </si>
  <si>
    <t>29.57±30.19</t>
  </si>
  <si>
    <t>Personal Concerns</t>
  </si>
  <si>
    <t>50.88±34.56</t>
  </si>
  <si>
    <t>37.34±34.04</t>
  </si>
  <si>
    <t>56.00±42.04</t>
  </si>
  <si>
    <t>43.67±45.11</t>
  </si>
  <si>
    <t>work</t>
  </si>
  <si>
    <t>23.14±19.66</t>
  </si>
  <si>
    <t>16.66±18.35</t>
  </si>
  <si>
    <t>24.52±22.67</t>
  </si>
  <si>
    <t>19.71±25.93</t>
  </si>
  <si>
    <t>achievef</t>
  </si>
  <si>
    <t>24.30±18.66</t>
  </si>
  <si>
    <t>14.94±15.15</t>
  </si>
  <si>
    <t>27.21±22.55</t>
  </si>
  <si>
    <t>17.69±20.75</t>
  </si>
  <si>
    <t>leisure</t>
  </si>
  <si>
    <t>6.15±8.12</t>
  </si>
  <si>
    <t>4.54±6.60</t>
  </si>
  <si>
    <t>6.60±8.39</t>
  </si>
  <si>
    <t>5.36±7.54</t>
  </si>
  <si>
    <t>home</t>
  </si>
  <si>
    <t>2.47±4.10</t>
  </si>
  <si>
    <t>1.95±3.43</t>
  </si>
  <si>
    <t>2.77±5.48</t>
  </si>
  <si>
    <t>2.41±4.93</t>
  </si>
  <si>
    <t>money</t>
  </si>
  <si>
    <t>5.38±7.96</t>
  </si>
  <si>
    <t>5.71±9.69</t>
  </si>
  <si>
    <t>5.82±9.74</t>
  </si>
  <si>
    <t>5.83±10.93</t>
  </si>
  <si>
    <t>relig</t>
  </si>
  <si>
    <t>1.64±4.29</t>
  </si>
  <si>
    <t>1.32±3.85</t>
  </si>
  <si>
    <t>2.25±5.69</t>
  </si>
  <si>
    <t>1.70±5.33</t>
  </si>
  <si>
    <t>death</t>
  </si>
  <si>
    <t>1.03±2.59</t>
  </si>
  <si>
    <t>1.15±2.79</t>
  </si>
  <si>
    <t>1.05±2.64</t>
  </si>
  <si>
    <t>1.11±3.00</t>
  </si>
  <si>
    <t>Swear</t>
  </si>
  <si>
    <t>0.14±0.47</t>
  </si>
  <si>
    <t>0.36±0.94</t>
  </si>
  <si>
    <t>0.13±0.59</t>
  </si>
  <si>
    <t>0.35±0.91</t>
  </si>
  <si>
    <t>Assent</t>
  </si>
  <si>
    <t>29.07±18.01</t>
  </si>
  <si>
    <t>29.84±25.21</t>
  </si>
  <si>
    <t>30.06±21.67</t>
  </si>
  <si>
    <t>32.98±30.82</t>
  </si>
  <si>
    <t>Symbol</t>
  </si>
  <si>
    <t>123.52±68.41</t>
  </si>
  <si>
    <t>121.84±98.51</t>
  </si>
  <si>
    <t>135.33±91.35</t>
  </si>
  <si>
    <t>147.19±139.27</t>
  </si>
  <si>
    <t>Biaoqing</t>
  </si>
  <si>
    <t>0.02±0.26</t>
  </si>
  <si>
    <t>0.16±1.42</t>
  </si>
  <si>
    <t>0.04±0.51</t>
  </si>
  <si>
    <t>0.25±2.34</t>
  </si>
  <si>
    <t>16.13±7.14</t>
  </si>
  <si>
    <t>2.99±3.15</t>
  </si>
  <si>
    <t>15.54±7.15</t>
  </si>
  <si>
    <t>3.55±3.82</t>
  </si>
  <si>
    <t>3.43±2.45</t>
  </si>
  <si>
    <t>0.57±1.02</t>
  </si>
  <si>
    <t>3.12±2.51</t>
  </si>
  <si>
    <t>0.69±1.22</t>
  </si>
  <si>
    <t>3.50±2.51</t>
  </si>
  <si>
    <t>0.52±0.98</t>
  </si>
  <si>
    <t>3.36±2.66</t>
  </si>
  <si>
    <t>0.63±1.12</t>
  </si>
  <si>
    <t>4.18±4.00</t>
  </si>
  <si>
    <t>3.46±3.78</t>
  </si>
  <si>
    <t>4.16±4.86</t>
  </si>
  <si>
    <t>3.24±4.63</t>
  </si>
  <si>
    <t>9.09±4.60</t>
  </si>
  <si>
    <t>1.83±2.09</t>
  </si>
  <si>
    <t>8.92±4.54</t>
  </si>
  <si>
    <t>2.13±2.54</t>
  </si>
  <si>
    <t>0.59±0.96</t>
  </si>
  <si>
    <t>0.18±0.48</t>
  </si>
  <si>
    <t>0.50±0.92</t>
  </si>
  <si>
    <t>0.17±0.47</t>
  </si>
  <si>
    <t>2.77±2.09</t>
  </si>
  <si>
    <t>0.46±0.78</t>
  </si>
  <si>
    <t>2.67±2.00</t>
  </si>
  <si>
    <t>0.57±1.00</t>
  </si>
  <si>
    <t>1.13±1.44</t>
  </si>
  <si>
    <t>0.35±0.70</t>
  </si>
  <si>
    <t>1.43±1.81</t>
  </si>
  <si>
    <t>0.51±1.00</t>
  </si>
  <si>
    <t>4.58±3.07</t>
  </si>
  <si>
    <t>0.84±1.29</t>
  </si>
  <si>
    <t>4.29±2.95</t>
  </si>
  <si>
    <t>0.86±1.32</t>
  </si>
  <si>
    <t>15.71±8.92</t>
  </si>
  <si>
    <t>2.84±3.54</t>
  </si>
  <si>
    <t>13.68±8.91</t>
  </si>
  <si>
    <t>3.00±3.73</t>
  </si>
  <si>
    <t>0.83±2.28</t>
  </si>
  <si>
    <t>0.25±1.02</t>
  </si>
  <si>
    <t>0.89±2.50</t>
  </si>
  <si>
    <t>0.30±0.99</t>
  </si>
  <si>
    <t>0.18±0.60</t>
  </si>
  <si>
    <t>0.07±0.32</t>
  </si>
  <si>
    <t>0.19±0.60</t>
  </si>
  <si>
    <t>0.06±0.30</t>
  </si>
  <si>
    <t>3.93±3.19</t>
  </si>
  <si>
    <t>0.79±1.40</t>
  </si>
  <si>
    <t>3.41±3.32</t>
  </si>
  <si>
    <t>0.82±1.51</t>
  </si>
  <si>
    <t>12.67±7.10</t>
  </si>
  <si>
    <t>2.03±2.31</t>
  </si>
  <si>
    <t>11.65±6.97</t>
  </si>
  <si>
    <t>2.14±2.89</t>
  </si>
  <si>
    <t>5.13±4.24</t>
  </si>
  <si>
    <t>0.76±1.23</t>
  </si>
  <si>
    <t>5.95±4.84</t>
  </si>
  <si>
    <t>0.98±1.64</t>
  </si>
  <si>
    <t>4.36±3.70</t>
  </si>
  <si>
    <t>0.86±1.33</t>
  </si>
  <si>
    <t>3.11±3.16</t>
  </si>
  <si>
    <t>0.74±1.44</t>
  </si>
  <si>
    <t>1.19±1.30</t>
  </si>
  <si>
    <t>0.15±0.45</t>
  </si>
  <si>
    <t>0.86±1.15</t>
  </si>
  <si>
    <t>0.12±0.45</t>
  </si>
  <si>
    <t>1.26±2.01</t>
  </si>
  <si>
    <t>0.30±0.75</t>
  </si>
  <si>
    <t>0.76±1.42</t>
  </si>
  <si>
    <t>0.22±0.69</t>
  </si>
  <si>
    <t>1.23±1.58</t>
  </si>
  <si>
    <t>0.14±0.43</t>
  </si>
  <si>
    <t>0.89±1.39</t>
  </si>
  <si>
    <t>0.13±0.45</t>
  </si>
  <si>
    <t>43.59±18.45</t>
  </si>
  <si>
    <t>6.33±6.13</t>
  </si>
  <si>
    <t>39.28±17.97</t>
  </si>
  <si>
    <t>7.22±8.40</t>
  </si>
  <si>
    <t>10.83±5.80</t>
  </si>
  <si>
    <t>1.63±1.92</t>
  </si>
  <si>
    <t>9.52±5.20</t>
  </si>
  <si>
    <t>1.77±2.27</t>
  </si>
  <si>
    <t>6.08±3.77</t>
  </si>
  <si>
    <t>0.74±1.11</t>
  </si>
  <si>
    <t>4.96±3.51</t>
  </si>
  <si>
    <t>0.75±1.27</t>
  </si>
  <si>
    <t>4.57±3.54</t>
  </si>
  <si>
    <t>0.64±1.15</t>
  </si>
  <si>
    <t>4.40±3.73</t>
  </si>
  <si>
    <t>0.80±1.51</t>
  </si>
  <si>
    <t>4.97±3.61</t>
  </si>
  <si>
    <t>0.70±1.17</t>
  </si>
  <si>
    <t>4.07±3.55</t>
  </si>
  <si>
    <t>0.77±1.42</t>
  </si>
  <si>
    <t>3.71±2.66</t>
  </si>
  <si>
    <t>0.53±0.90</t>
  </si>
  <si>
    <t>3.30±2.54</t>
  </si>
  <si>
    <t>0.56±1.08</t>
  </si>
  <si>
    <t>10.68±6.74</t>
  </si>
  <si>
    <t>1.50±1.89</t>
  </si>
  <si>
    <t>10.11±6.14</t>
  </si>
  <si>
    <t>1.78±2.46</t>
  </si>
  <si>
    <t>2.59±2.17</t>
  </si>
  <si>
    <t>0.56±1.10</t>
  </si>
  <si>
    <t>2.40±2.26</t>
  </si>
  <si>
    <t>0.62±1.21</t>
  </si>
  <si>
    <t>2.21±2.24</t>
  </si>
  <si>
    <t>0.43±0.97</t>
  </si>
  <si>
    <t>2.11±2.44</t>
  </si>
  <si>
    <t>0.55±1.33</t>
  </si>
  <si>
    <t>2.91±2.79</t>
  </si>
  <si>
    <t>0.68±1.09</t>
  </si>
  <si>
    <t>3.24±3.20</t>
  </si>
  <si>
    <t>0.74±1.19</t>
  </si>
  <si>
    <t>0.88±1.58</t>
  </si>
  <si>
    <t>0.31±0.72</t>
  </si>
  <si>
    <t>0.96±1.56</t>
  </si>
  <si>
    <t>0.29±0.70</t>
  </si>
  <si>
    <t>0.87±1.41</t>
  </si>
  <si>
    <t>0.20±0.56</t>
  </si>
  <si>
    <t>0.79±1.45</t>
  </si>
  <si>
    <t>0.23±0.64</t>
  </si>
  <si>
    <t>0.42±0.85</t>
  </si>
  <si>
    <t>0.08±0.33</t>
  </si>
  <si>
    <t>0.57±1.17</t>
  </si>
  <si>
    <t>0.11±0.42</t>
  </si>
  <si>
    <t>2.40±3.98</t>
  </si>
  <si>
    <t>0.68±1.52</t>
  </si>
  <si>
    <t>2.93±5.15</t>
  </si>
  <si>
    <t>0.93±2.07</t>
  </si>
  <si>
    <t>0.67±1.41</t>
  </si>
  <si>
    <t>0.20±0.57</t>
  </si>
  <si>
    <t>0.80±1.94</t>
  </si>
  <si>
    <t>0.23±0.70</t>
  </si>
  <si>
    <t>1.24±2.75</t>
  </si>
  <si>
    <t>0.28±1.01</t>
  </si>
  <si>
    <t>1.44±3.39</t>
  </si>
  <si>
    <t>0.45±1.53</t>
  </si>
  <si>
    <t>0.28±0.92</t>
  </si>
  <si>
    <t>0.10±0.41</t>
  </si>
  <si>
    <t>0.30±0.87</t>
  </si>
  <si>
    <t>0.10±0.45</t>
  </si>
  <si>
    <t>0.39±1.55</t>
  </si>
  <si>
    <t>0.12±0.57</t>
  </si>
  <si>
    <t>0.51±1.96</t>
  </si>
  <si>
    <t>0.17±0.69</t>
  </si>
  <si>
    <t>24.89±10.61</t>
  </si>
  <si>
    <t>6.21±5.09</t>
  </si>
  <si>
    <t>23.89±10.51</t>
  </si>
  <si>
    <t>6.70±7.00</t>
  </si>
  <si>
    <t>4.95±3.23</t>
  </si>
  <si>
    <t>1.02±1.41</t>
  </si>
  <si>
    <t>5.19±3.52</t>
  </si>
  <si>
    <t>1.38±1.95</t>
  </si>
  <si>
    <t>12.39±6.43</t>
  </si>
  <si>
    <t>2.50±2.60</t>
  </si>
  <si>
    <t>11.37±6.06</t>
  </si>
  <si>
    <t>2.76±3.51</t>
  </si>
  <si>
    <t>9.17±4.92</t>
  </si>
  <si>
    <t>3.20±2.96</t>
  </si>
  <si>
    <t>8.84±5.03</t>
  </si>
  <si>
    <t>3.14±3.55</t>
  </si>
  <si>
    <t>15.46±9.35</t>
  </si>
  <si>
    <t>3.17±3.17</t>
  </si>
  <si>
    <t>16.29±11.04</t>
  </si>
  <si>
    <t>4.12±5.31</t>
  </si>
  <si>
    <t>7.53±6.27</t>
  </si>
  <si>
    <t>1.57±2.06</t>
  </si>
  <si>
    <t>8.01±7.63</t>
  </si>
  <si>
    <t>2.16±3.44</t>
  </si>
  <si>
    <t>6.61±5.11</t>
  </si>
  <si>
    <t>1.08±1.49</t>
  </si>
  <si>
    <t>6.70±5.48</t>
  </si>
  <si>
    <t>1.29±2.16</t>
  </si>
  <si>
    <t>1.60±2.37</t>
  </si>
  <si>
    <t>0.34±0.74</t>
  </si>
  <si>
    <t>1.91±2.74</t>
  </si>
  <si>
    <t>0.53±1.37</t>
  </si>
  <si>
    <t>0.71±1.35</t>
  </si>
  <si>
    <t>0.14±0.51</t>
  </si>
  <si>
    <t>0.89±1.62</t>
  </si>
  <si>
    <t>0.23±0.77</t>
  </si>
  <si>
    <t>1.59±2.90</t>
  </si>
  <si>
    <t>0.37±0.99</t>
  </si>
  <si>
    <t>1.86±3.53</t>
  </si>
  <si>
    <t>0.60±1.49</t>
  </si>
  <si>
    <t>0.71±2.14</t>
  </si>
  <si>
    <t>0.22±0.77</t>
  </si>
  <si>
    <t>0.50±1.28</t>
  </si>
  <si>
    <t>0.17±0.61</t>
  </si>
  <si>
    <t>0.50±1.23</t>
  </si>
  <si>
    <t>0.18±0.57</t>
  </si>
  <si>
    <t>0.29±0.89</t>
  </si>
  <si>
    <t>0.12±0.51</t>
  </si>
  <si>
    <t>0.06±0.36</t>
  </si>
  <si>
    <t>0.03±0.32</t>
  </si>
  <si>
    <t>0.05±0.33</t>
  </si>
  <si>
    <t>0.03±0.20</t>
  </si>
  <si>
    <t>8.95±4.91</t>
  </si>
  <si>
    <t>1.59±1.90</t>
  </si>
  <si>
    <t>8.12±4.41</t>
  </si>
  <si>
    <t>1.52±2.07</t>
  </si>
  <si>
    <t>44.78±16.64</t>
  </si>
  <si>
    <t>12.42±11.06</t>
  </si>
  <si>
    <t>44.40±17.55</t>
  </si>
  <si>
    <t>15.07±13.11</t>
  </si>
  <si>
    <t>0.05±0.37</t>
  </si>
  <si>
    <t>0.03±0.26</t>
  </si>
  <si>
    <t>0.08±0.47</t>
  </si>
  <si>
    <t>0.07±0.34</t>
  </si>
  <si>
    <t>TouTiao-based</t>
  </si>
  <si>
    <t>MCFEND-based</t>
  </si>
  <si>
    <t>Dimension</t>
  </si>
  <si>
    <t>Diff AI&amp;HM_FK</t>
  </si>
  <si>
    <t>K-S P.</t>
  </si>
  <si>
    <t>Diff AI&amp;HM_RL</t>
  </si>
  <si>
    <t>Language Styles</t>
  </si>
  <si>
    <t>***</t>
  </si>
  <si>
    <t>negations</t>
  </si>
  <si>
    <t>quantifier</t>
  </si>
  <si>
    <t>tense</t>
  </si>
  <si>
    <t>Past</t>
  </si>
  <si>
    <t>Present</t>
  </si>
  <si>
    <t>Future</t>
  </si>
  <si>
    <t>**</t>
  </si>
  <si>
    <t>Progressive</t>
  </si>
  <si>
    <t xml:space="preserve">Social Processes	</t>
  </si>
  <si>
    <t>NS</t>
  </si>
  <si>
    <t>Affective Processes</t>
    <phoneticPr fontId="1" type="noConversion"/>
  </si>
  <si>
    <t>positive emotions</t>
  </si>
  <si>
    <t>negative emotions</t>
  </si>
  <si>
    <t>anxiety</t>
  </si>
  <si>
    <t>sadness</t>
  </si>
  <si>
    <t>Cognitive Processes</t>
  </si>
  <si>
    <t>causation</t>
  </si>
  <si>
    <t>discrepancy</t>
  </si>
  <si>
    <t>tentative</t>
  </si>
  <si>
    <t>certainty</t>
  </si>
  <si>
    <t>inclusive</t>
  </si>
  <si>
    <t>exclusive</t>
  </si>
  <si>
    <t>inhibition</t>
  </si>
  <si>
    <t>Perceptual Processes</t>
  </si>
  <si>
    <t>seeing</t>
  </si>
  <si>
    <t>hearing</t>
  </si>
  <si>
    <t>feeling</t>
  </si>
  <si>
    <t>Biological Processes</t>
  </si>
  <si>
    <t>ingesting</t>
  </si>
  <si>
    <t>Relativity</t>
    <phoneticPr fontId="1" type="noConversion"/>
  </si>
  <si>
    <t>achievement</t>
  </si>
  <si>
    <t>*</t>
  </si>
  <si>
    <t>religion</t>
  </si>
  <si>
    <t>Swear Word</t>
  </si>
  <si>
    <t>Emoji</t>
  </si>
  <si>
    <t xml:space="preserve">
K-S P. :mcfend-based/ks_stats_of_AIHM_RL.xlsx, ks_stats_of_AIHM_FK.xlsx</t>
    <phoneticPr fontId="1" type="noConversion"/>
  </si>
  <si>
    <t>K-S P. :toutiao-based/ks_stats_of_AIHM_RL.xlsx, ks_stats_of_AIHM_FK.xlsx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</si>
</sst>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76" fontId="4" fillId="0" borderId="0" xfId="0" applyNumberFormat="1" applyFont="1" applyAlignment="1">
      <alignment horizontal="center"/>
    </xf>
    <xf numFmtId="176" fontId="4" fillId="0" borderId="0" xfId="0" applyNumberFormat="1" applyFont="1"/>
    <xf numFmtId="0" fontId="4" fillId="0" borderId="0" xfId="0" applyFont="1" applyAlignment="1">
      <alignment horizontal="center" vertical="top"/>
    </xf>
    <xf numFmtId="176" fontId="5" fillId="0" borderId="0" xfId="0" applyNumberFormat="1" applyFont="1"/>
    <xf numFmtId="0" fontId="5" fillId="2" borderId="0" xfId="0" applyFont="1" applyFill="1"/>
    <xf numFmtId="0" fontId="5" fillId="0" borderId="0" xfId="0" applyFont="1"/>
    <xf numFmtId="0" fontId="6" fillId="2" borderId="0" xfId="0" applyFont="1" applyFill="1"/>
    <xf numFmtId="176" fontId="5" fillId="2" borderId="0" xfId="0" applyNumberFormat="1" applyFont="1" applyFill="1"/>
    <xf numFmtId="0" fontId="0" fillId="0" borderId="0" xfId="0" applyAlignment="1"/>
    <xf numFmtId="0" fontId="0" fillId="0" borderId="0" xfId="0" applyAlignment="1">
      <alignment horizontal="center"/>
    </xf>
    <xf numFmtId="0" fontId="4" fillId="0" borderId="0" xfId="0" applyFont="1" applyFill="1"/>
    <xf numFmtId="176" fontId="5" fillId="0" borderId="0" xfId="0" applyNumberFormat="1" applyFont="1" applyFill="1"/>
    <xf numFmtId="0" fontId="5" fillId="0" borderId="0" xfId="0" applyFont="1" applyFill="1"/>
  </cellXfs>
  <cellStyles count="1">
    <cellStyle name="常规" xfId="0" builtinId="0"/>
  </cellStyles>
  <dxfs count="8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workbookViewId="0">
      <selection sqref="A1:XFD1048576"/>
    </sheetView>
  </sheetViews>
  <sheetFormatPr defaultColWidth="9" defaultRowHeight="13.8" x14ac:dyDescent="0.25"/>
  <cols>
    <col min="11" max="11" width="15" customWidth="1"/>
  </cols>
  <sheetData>
    <row r="1" spans="1:23" x14ac:dyDescent="0.25">
      <c r="A1" t="s">
        <v>0</v>
      </c>
      <c r="F1" t="s">
        <v>1</v>
      </c>
      <c r="M1" t="s">
        <v>2</v>
      </c>
      <c r="R1" t="s">
        <v>3</v>
      </c>
    </row>
    <row r="2" spans="1:23" x14ac:dyDescent="0.25">
      <c r="B2" s="1" t="s">
        <v>4</v>
      </c>
      <c r="C2" s="1" t="s">
        <v>5</v>
      </c>
      <c r="D2" s="1" t="s">
        <v>6</v>
      </c>
      <c r="G2" s="1" t="s">
        <v>4</v>
      </c>
      <c r="H2" s="1" t="s">
        <v>5</v>
      </c>
      <c r="I2" s="1" t="s">
        <v>6</v>
      </c>
      <c r="K2" s="2" t="s">
        <v>7</v>
      </c>
      <c r="N2" s="1" t="s">
        <v>4</v>
      </c>
      <c r="O2" s="1" t="s">
        <v>5</v>
      </c>
      <c r="P2" s="1" t="s">
        <v>6</v>
      </c>
      <c r="S2" s="1" t="s">
        <v>4</v>
      </c>
      <c r="T2" s="1" t="s">
        <v>5</v>
      </c>
      <c r="U2" s="1" t="s">
        <v>6</v>
      </c>
      <c r="W2" s="2" t="s">
        <v>8</v>
      </c>
    </row>
    <row r="3" spans="1:23" x14ac:dyDescent="0.25">
      <c r="A3" s="1" t="s">
        <v>9</v>
      </c>
      <c r="B3">
        <v>53.425249169435197</v>
      </c>
      <c r="C3">
        <v>32.657276843041203</v>
      </c>
      <c r="D3" t="s">
        <v>10</v>
      </c>
      <c r="F3" s="1" t="s">
        <v>9</v>
      </c>
      <c r="G3">
        <v>53.422166590805702</v>
      </c>
      <c r="H3">
        <v>44.125196656357502</v>
      </c>
      <c r="I3" t="s">
        <v>11</v>
      </c>
      <c r="K3">
        <f>(B3-G3)/G3*100</f>
        <v>5.7702239093125616E-3</v>
      </c>
      <c r="M3" s="1" t="s">
        <v>9</v>
      </c>
      <c r="N3">
        <v>57.076162215628102</v>
      </c>
      <c r="O3">
        <v>40.075684651128498</v>
      </c>
      <c r="P3" t="s">
        <v>12</v>
      </c>
      <c r="R3" s="1" t="s">
        <v>9</v>
      </c>
      <c r="S3">
        <v>58.840738526930998</v>
      </c>
      <c r="T3">
        <v>53.565689415498298</v>
      </c>
      <c r="U3" t="s">
        <v>13</v>
      </c>
      <c r="W3">
        <f>(N3-S3)/S3*100</f>
        <v>-2.99890238545402</v>
      </c>
    </row>
    <row r="4" spans="1:23" x14ac:dyDescent="0.25">
      <c r="A4" s="1" t="s">
        <v>14</v>
      </c>
      <c r="B4">
        <v>11.126245847176101</v>
      </c>
      <c r="C4">
        <v>7.7760249861384398</v>
      </c>
      <c r="D4" t="s">
        <v>15</v>
      </c>
      <c r="F4" s="1" t="s">
        <v>14</v>
      </c>
      <c r="G4">
        <v>12.5657715065999</v>
      </c>
      <c r="H4">
        <v>11.002777747022501</v>
      </c>
      <c r="I4" t="s">
        <v>16</v>
      </c>
      <c r="K4">
        <f t="shared" ref="K4:K55" si="0">(B4-G4)/G4*100</f>
        <v>-11.455927387090551</v>
      </c>
      <c r="M4" s="1" t="s">
        <v>14</v>
      </c>
      <c r="N4">
        <v>11.2725024727992</v>
      </c>
      <c r="O4">
        <v>9.1870132705894694</v>
      </c>
      <c r="P4" t="s">
        <v>17</v>
      </c>
      <c r="R4" s="1" t="s">
        <v>14</v>
      </c>
      <c r="S4">
        <v>13.2824599853889</v>
      </c>
      <c r="T4">
        <v>13.1697555529024</v>
      </c>
      <c r="U4" t="s">
        <v>18</v>
      </c>
      <c r="W4">
        <f t="shared" ref="W4:W55" si="1">(N4-S4)/S4*100</f>
        <v>-15.132419106104692</v>
      </c>
    </row>
    <row r="5" spans="1:23" x14ac:dyDescent="0.25">
      <c r="A5" s="1" t="s">
        <v>19</v>
      </c>
      <c r="B5">
        <v>11.5415282392027</v>
      </c>
      <c r="C5">
        <v>8.7310966993887096</v>
      </c>
      <c r="D5" t="s">
        <v>20</v>
      </c>
      <c r="F5" s="1" t="s">
        <v>19</v>
      </c>
      <c r="G5">
        <v>10.012289485662301</v>
      </c>
      <c r="H5">
        <v>9.6427341065120196</v>
      </c>
      <c r="I5" t="s">
        <v>21</v>
      </c>
      <c r="K5">
        <f t="shared" si="0"/>
        <v>15.273617045634612</v>
      </c>
      <c r="M5" s="1" t="s">
        <v>19</v>
      </c>
      <c r="N5">
        <v>12.6612265084075</v>
      </c>
      <c r="O5">
        <v>10.254961994145299</v>
      </c>
      <c r="P5" t="s">
        <v>22</v>
      </c>
      <c r="R5" s="1" t="s">
        <v>19</v>
      </c>
      <c r="S5">
        <v>11.7401872883044</v>
      </c>
      <c r="T5">
        <v>11.758347738650601</v>
      </c>
      <c r="U5" t="s">
        <v>23</v>
      </c>
      <c r="W5">
        <f t="shared" si="1"/>
        <v>7.8451833644991487</v>
      </c>
    </row>
    <row r="6" spans="1:23" x14ac:dyDescent="0.25">
      <c r="A6" s="1" t="s">
        <v>24</v>
      </c>
      <c r="B6">
        <v>6.8820598006644502</v>
      </c>
      <c r="C6">
        <v>10.3127972650825</v>
      </c>
      <c r="D6" t="s">
        <v>25</v>
      </c>
      <c r="F6" s="1" t="s">
        <v>24</v>
      </c>
      <c r="G6">
        <v>10.7505689576696</v>
      </c>
      <c r="H6">
        <v>16.9186039189218</v>
      </c>
      <c r="I6" t="s">
        <v>26</v>
      </c>
      <c r="K6">
        <f t="shared" si="0"/>
        <v>-35.984227181253544</v>
      </c>
      <c r="M6" s="1" t="s">
        <v>24</v>
      </c>
      <c r="N6">
        <v>8.8456973293768506</v>
      </c>
      <c r="O6">
        <v>14.973270883590301</v>
      </c>
      <c r="P6" t="s">
        <v>27</v>
      </c>
      <c r="R6" s="1" t="s">
        <v>24</v>
      </c>
      <c r="S6">
        <v>14.8423988842399</v>
      </c>
      <c r="T6">
        <v>25.655403366058199</v>
      </c>
      <c r="U6" t="s">
        <v>28</v>
      </c>
      <c r="W6">
        <f t="shared" si="1"/>
        <v>-40.40250906631087</v>
      </c>
    </row>
    <row r="7" spans="1:23" x14ac:dyDescent="0.25">
      <c r="A7" s="1" t="s">
        <v>29</v>
      </c>
      <c r="B7">
        <v>30.287375415282401</v>
      </c>
      <c r="C7">
        <v>20.262966886503101</v>
      </c>
      <c r="D7" t="s">
        <v>30</v>
      </c>
      <c r="F7" s="1" t="s">
        <v>29</v>
      </c>
      <c r="G7">
        <v>30.380974055530299</v>
      </c>
      <c r="H7">
        <v>27.360440941799801</v>
      </c>
      <c r="I7" t="s">
        <v>31</v>
      </c>
      <c r="K7">
        <f t="shared" si="0"/>
        <v>-0.30808307882695923</v>
      </c>
      <c r="M7" s="1" t="s">
        <v>29</v>
      </c>
      <c r="N7">
        <v>32.560830860534097</v>
      </c>
      <c r="O7">
        <v>25.683222457205801</v>
      </c>
      <c r="P7" t="s">
        <v>32</v>
      </c>
      <c r="R7" s="1" t="s">
        <v>29</v>
      </c>
      <c r="S7">
        <v>33.148170286245602</v>
      </c>
      <c r="T7">
        <v>33.271396350264602</v>
      </c>
      <c r="U7" t="s">
        <v>33</v>
      </c>
      <c r="W7">
        <f t="shared" si="1"/>
        <v>-1.7718607713174868</v>
      </c>
    </row>
    <row r="8" spans="1:23" x14ac:dyDescent="0.25">
      <c r="A8" s="1" t="s">
        <v>34</v>
      </c>
      <c r="B8">
        <v>2.0199335548172801</v>
      </c>
      <c r="C8">
        <v>2.6441033498514801</v>
      </c>
      <c r="D8" t="s">
        <v>35</v>
      </c>
      <c r="F8" s="1" t="s">
        <v>34</v>
      </c>
      <c r="G8">
        <v>2.8450159308147498</v>
      </c>
      <c r="H8">
        <v>3.7223051490074699</v>
      </c>
      <c r="I8" t="s">
        <v>36</v>
      </c>
      <c r="K8">
        <f t="shared" si="0"/>
        <v>-29.00097560301479</v>
      </c>
      <c r="M8" s="1" t="s">
        <v>34</v>
      </c>
      <c r="N8">
        <v>2.2319485657764599</v>
      </c>
      <c r="O8">
        <v>3.3177596366756998</v>
      </c>
      <c r="P8" t="s">
        <v>37</v>
      </c>
      <c r="R8" s="1" t="s">
        <v>34</v>
      </c>
      <c r="S8">
        <v>3.0105598724845599</v>
      </c>
      <c r="T8">
        <v>4.1585325215132896</v>
      </c>
      <c r="U8" t="s">
        <v>38</v>
      </c>
      <c r="W8">
        <f t="shared" si="1"/>
        <v>-25.862674707928207</v>
      </c>
    </row>
    <row r="9" spans="1:23" x14ac:dyDescent="0.25">
      <c r="A9" s="1" t="s">
        <v>39</v>
      </c>
      <c r="B9">
        <v>8.4036544850498291</v>
      </c>
      <c r="C9">
        <v>6.1637272849698999</v>
      </c>
      <c r="D9" t="s">
        <v>40</v>
      </c>
      <c r="F9" s="1" t="s">
        <v>39</v>
      </c>
      <c r="G9">
        <v>6.2314519799726904</v>
      </c>
      <c r="H9">
        <v>6.3777372387786304</v>
      </c>
      <c r="I9" t="s">
        <v>41</v>
      </c>
      <c r="K9">
        <f t="shared" si="0"/>
        <v>34.858689628972449</v>
      </c>
      <c r="M9" s="1" t="s">
        <v>39</v>
      </c>
      <c r="N9">
        <v>9.5390702274975308</v>
      </c>
      <c r="O9">
        <v>7.77403579769756</v>
      </c>
      <c r="P9" t="s">
        <v>42</v>
      </c>
      <c r="R9" s="1" t="s">
        <v>39</v>
      </c>
      <c r="S9">
        <v>7.3021850302185003</v>
      </c>
      <c r="T9">
        <v>8.3485804206076502</v>
      </c>
      <c r="U9" t="s">
        <v>43</v>
      </c>
      <c r="W9">
        <f t="shared" si="1"/>
        <v>30.633093903019017</v>
      </c>
    </row>
    <row r="10" spans="1:23" x14ac:dyDescent="0.25">
      <c r="A10" s="1" t="s">
        <v>44</v>
      </c>
      <c r="B10">
        <v>4.4767441860465098</v>
      </c>
      <c r="C10">
        <v>4.2008980932285898</v>
      </c>
      <c r="D10" t="s">
        <v>45</v>
      </c>
      <c r="F10" s="1" t="s">
        <v>44</v>
      </c>
      <c r="G10">
        <v>4.8395539371870697</v>
      </c>
      <c r="H10">
        <v>5.3848453476916198</v>
      </c>
      <c r="I10" t="s">
        <v>46</v>
      </c>
      <c r="K10">
        <f t="shared" si="0"/>
        <v>-7.4967601528879451</v>
      </c>
      <c r="M10" s="1" t="s">
        <v>44</v>
      </c>
      <c r="N10">
        <v>4.8763600395647897</v>
      </c>
      <c r="O10">
        <v>4.9990147475537503</v>
      </c>
      <c r="P10" t="s">
        <v>47</v>
      </c>
      <c r="R10" s="1" t="s">
        <v>44</v>
      </c>
      <c r="S10">
        <v>5.3470810918509697</v>
      </c>
      <c r="T10">
        <v>6.2789190367708398</v>
      </c>
      <c r="U10" t="s">
        <v>48</v>
      </c>
      <c r="W10">
        <f t="shared" si="1"/>
        <v>-8.8033273518811193</v>
      </c>
    </row>
    <row r="11" spans="1:23" x14ac:dyDescent="0.25">
      <c r="A11" s="1" t="s">
        <v>49</v>
      </c>
      <c r="B11">
        <v>15.332225913621301</v>
      </c>
      <c r="C11">
        <v>11.7349794116765</v>
      </c>
      <c r="D11" t="s">
        <v>50</v>
      </c>
      <c r="F11" s="1" t="s">
        <v>49</v>
      </c>
      <c r="G11">
        <v>16.375056895766999</v>
      </c>
      <c r="H11">
        <v>15.6867519781759</v>
      </c>
      <c r="I11" t="s">
        <v>51</v>
      </c>
      <c r="K11">
        <f t="shared" si="0"/>
        <v>-6.3684113513845162</v>
      </c>
      <c r="M11" s="1" t="s">
        <v>49</v>
      </c>
      <c r="N11">
        <v>15.8298714144412</v>
      </c>
      <c r="O11">
        <v>14.2634690421913</v>
      </c>
      <c r="P11" t="s">
        <v>52</v>
      </c>
      <c r="R11" s="1" t="s">
        <v>49</v>
      </c>
      <c r="S11">
        <v>17.381815766753</v>
      </c>
      <c r="T11">
        <v>18.759960055899501</v>
      </c>
      <c r="U11" t="s">
        <v>53</v>
      </c>
      <c r="W11">
        <f t="shared" si="1"/>
        <v>-8.9285513846043365</v>
      </c>
    </row>
    <row r="12" spans="1:23" x14ac:dyDescent="0.25">
      <c r="A12" s="1" t="s">
        <v>54</v>
      </c>
      <c r="B12">
        <v>53.493355481727598</v>
      </c>
      <c r="C12">
        <v>36.125186143649898</v>
      </c>
      <c r="D12" t="s">
        <v>55</v>
      </c>
      <c r="F12" s="1" t="s">
        <v>54</v>
      </c>
      <c r="G12">
        <v>43.775147928994102</v>
      </c>
      <c r="H12">
        <v>42.158853887522298</v>
      </c>
      <c r="I12" t="s">
        <v>56</v>
      </c>
      <c r="K12">
        <f t="shared" si="0"/>
        <v>22.20028489337605</v>
      </c>
      <c r="M12" s="1" t="s">
        <v>54</v>
      </c>
      <c r="N12">
        <v>53.570722057368897</v>
      </c>
      <c r="O12">
        <v>43.624570034676999</v>
      </c>
      <c r="P12" t="s">
        <v>57</v>
      </c>
      <c r="R12" s="1" t="s">
        <v>54</v>
      </c>
      <c r="S12">
        <v>46.117287640300198</v>
      </c>
      <c r="T12">
        <v>51.540328651962298</v>
      </c>
      <c r="U12" t="s">
        <v>58</v>
      </c>
      <c r="W12">
        <f t="shared" si="1"/>
        <v>16.16190977058984</v>
      </c>
    </row>
    <row r="13" spans="1:23" x14ac:dyDescent="0.25">
      <c r="A13" s="1" t="s">
        <v>59</v>
      </c>
      <c r="B13">
        <v>4.7890365448505001</v>
      </c>
      <c r="C13">
        <v>9.1435408260292999</v>
      </c>
      <c r="D13" t="s">
        <v>60</v>
      </c>
      <c r="F13" s="1" t="s">
        <v>59</v>
      </c>
      <c r="G13">
        <v>4.7020937642239398</v>
      </c>
      <c r="H13">
        <v>10.004517995290399</v>
      </c>
      <c r="I13" t="s">
        <v>61</v>
      </c>
      <c r="K13">
        <f t="shared" si="0"/>
        <v>1.8490226904462823</v>
      </c>
      <c r="M13" s="1" t="s">
        <v>59</v>
      </c>
      <c r="N13">
        <v>4.5845697329376902</v>
      </c>
      <c r="O13">
        <v>10.3441291898603</v>
      </c>
      <c r="P13" t="s">
        <v>62</v>
      </c>
      <c r="R13" s="1" t="s">
        <v>59</v>
      </c>
      <c r="S13">
        <v>4.5653848708242002</v>
      </c>
      <c r="T13">
        <v>10.443702749109701</v>
      </c>
      <c r="U13" t="s">
        <v>63</v>
      </c>
      <c r="W13">
        <f t="shared" si="1"/>
        <v>0.4202244204227743</v>
      </c>
    </row>
    <row r="14" spans="1:23" x14ac:dyDescent="0.25">
      <c r="A14" s="1" t="s">
        <v>64</v>
      </c>
      <c r="B14">
        <v>0.62790697674418605</v>
      </c>
      <c r="C14">
        <v>1.4506015521887701</v>
      </c>
      <c r="D14" t="s">
        <v>65</v>
      </c>
      <c r="F14" s="1" t="s">
        <v>64</v>
      </c>
      <c r="G14">
        <v>0.72462448793809697</v>
      </c>
      <c r="H14">
        <v>1.71274168958532</v>
      </c>
      <c r="I14" t="s">
        <v>66</v>
      </c>
      <c r="K14">
        <f t="shared" si="0"/>
        <v>-13.347259553581811</v>
      </c>
      <c r="M14" s="1" t="s">
        <v>64</v>
      </c>
      <c r="N14">
        <v>0.67507418397626096</v>
      </c>
      <c r="O14">
        <v>1.6778564437563599</v>
      </c>
      <c r="P14" t="s">
        <v>67</v>
      </c>
      <c r="R14" s="1" t="s">
        <v>64</v>
      </c>
      <c r="S14">
        <v>0.83721856943614303</v>
      </c>
      <c r="T14">
        <v>1.97439815002981</v>
      </c>
      <c r="U14" t="s">
        <v>68</v>
      </c>
      <c r="W14">
        <f t="shared" si="1"/>
        <v>-19.367031666424271</v>
      </c>
    </row>
    <row r="15" spans="1:23" x14ac:dyDescent="0.25">
      <c r="A15" s="1" t="s">
        <v>69</v>
      </c>
      <c r="B15">
        <v>12.898671096345501</v>
      </c>
      <c r="C15">
        <v>10.8456742749048</v>
      </c>
      <c r="D15" t="s">
        <v>70</v>
      </c>
      <c r="F15" s="1" t="s">
        <v>69</v>
      </c>
      <c r="G15">
        <v>11.411697769685899</v>
      </c>
      <c r="H15">
        <v>12.430496401081101</v>
      </c>
      <c r="I15" t="s">
        <v>71</v>
      </c>
      <c r="K15">
        <f t="shared" si="0"/>
        <v>13.030255065198151</v>
      </c>
      <c r="M15" s="1" t="s">
        <v>69</v>
      </c>
      <c r="N15">
        <v>12.0890207715134</v>
      </c>
      <c r="O15">
        <v>11.5600100728879</v>
      </c>
      <c r="P15" t="s">
        <v>72</v>
      </c>
      <c r="R15" s="1" t="s">
        <v>69</v>
      </c>
      <c r="S15">
        <v>11.2176396360497</v>
      </c>
      <c r="T15">
        <v>13.351064236240299</v>
      </c>
      <c r="U15" t="s">
        <v>73</v>
      </c>
      <c r="W15">
        <f t="shared" si="1"/>
        <v>7.7679544336883133</v>
      </c>
    </row>
    <row r="16" spans="1:23" x14ac:dyDescent="0.25">
      <c r="A16" s="1" t="s">
        <v>74</v>
      </c>
      <c r="B16">
        <v>41.182724252491703</v>
      </c>
      <c r="C16">
        <v>25.953365970750099</v>
      </c>
      <c r="D16" t="s">
        <v>75</v>
      </c>
      <c r="F16" s="1" t="s">
        <v>74</v>
      </c>
      <c r="G16">
        <v>27.354346836595401</v>
      </c>
      <c r="H16">
        <v>23.432703075118201</v>
      </c>
      <c r="I16" t="s">
        <v>76</v>
      </c>
      <c r="K16">
        <f t="shared" si="0"/>
        <v>50.552760402219945</v>
      </c>
      <c r="M16" s="1" t="s">
        <v>74</v>
      </c>
      <c r="N16">
        <v>42.720573689416398</v>
      </c>
      <c r="O16">
        <v>29.624210147866702</v>
      </c>
      <c r="P16" t="s">
        <v>77</v>
      </c>
      <c r="R16" s="1" t="s">
        <v>74</v>
      </c>
      <c r="S16">
        <v>29.694295012286599</v>
      </c>
      <c r="T16">
        <v>28.5164552491165</v>
      </c>
      <c r="U16" t="s">
        <v>78</v>
      </c>
      <c r="W16">
        <f t="shared" si="1"/>
        <v>43.867950634086178</v>
      </c>
    </row>
    <row r="17" spans="1:23" x14ac:dyDescent="0.25">
      <c r="A17" s="1" t="s">
        <v>79</v>
      </c>
      <c r="B17">
        <v>17.895348837209301</v>
      </c>
      <c r="C17">
        <v>13.751442639596901</v>
      </c>
      <c r="D17" t="s">
        <v>80</v>
      </c>
      <c r="F17" s="1" t="s">
        <v>79</v>
      </c>
      <c r="G17">
        <v>11.5632680928539</v>
      </c>
      <c r="H17">
        <v>11.006805330994</v>
      </c>
      <c r="I17" t="s">
        <v>81</v>
      </c>
      <c r="K17">
        <f t="shared" si="0"/>
        <v>54.760303864861768</v>
      </c>
      <c r="M17" s="1" t="s">
        <v>79</v>
      </c>
      <c r="N17">
        <v>21.874381800197799</v>
      </c>
      <c r="O17">
        <v>17.008425495656301</v>
      </c>
      <c r="P17" t="s">
        <v>82</v>
      </c>
      <c r="R17" s="1" t="s">
        <v>79</v>
      </c>
      <c r="S17">
        <v>14.0836820083682</v>
      </c>
      <c r="T17">
        <v>14.259560062618601</v>
      </c>
      <c r="U17" t="s">
        <v>83</v>
      </c>
      <c r="W17">
        <f t="shared" si="1"/>
        <v>55.3172088605845</v>
      </c>
    </row>
    <row r="18" spans="1:23" x14ac:dyDescent="0.25">
      <c r="A18" s="1" t="s">
        <v>84</v>
      </c>
      <c r="B18">
        <v>13.031561461794</v>
      </c>
      <c r="C18">
        <v>11.345606898438101</v>
      </c>
      <c r="D18" t="s">
        <v>85</v>
      </c>
      <c r="F18" s="1" t="s">
        <v>84</v>
      </c>
      <c r="G18">
        <v>9.8559399180700993</v>
      </c>
      <c r="H18">
        <v>9.8793289470218699</v>
      </c>
      <c r="I18" t="s">
        <v>86</v>
      </c>
      <c r="K18">
        <f t="shared" si="0"/>
        <v>32.220382531975929</v>
      </c>
      <c r="M18" s="1" t="s">
        <v>84</v>
      </c>
      <c r="N18">
        <v>11.3550939663699</v>
      </c>
      <c r="O18">
        <v>11.6620107643519</v>
      </c>
      <c r="P18" t="s">
        <v>87</v>
      </c>
      <c r="R18" s="1" t="s">
        <v>84</v>
      </c>
      <c r="S18">
        <v>9.2662548980540596</v>
      </c>
      <c r="T18">
        <v>11.345487383131401</v>
      </c>
      <c r="U18" t="s">
        <v>88</v>
      </c>
      <c r="W18">
        <f t="shared" si="1"/>
        <v>22.542430478083464</v>
      </c>
    </row>
    <row r="19" spans="1:23" x14ac:dyDescent="0.25">
      <c r="A19" s="1" t="s">
        <v>89</v>
      </c>
      <c r="B19">
        <v>2.5598006644518301</v>
      </c>
      <c r="C19">
        <v>2.9629849522209399</v>
      </c>
      <c r="D19" t="s">
        <v>90</v>
      </c>
      <c r="F19" s="1" t="s">
        <v>89</v>
      </c>
      <c r="G19">
        <v>1.7703686845698701</v>
      </c>
      <c r="H19">
        <v>2.3789281915351199</v>
      </c>
      <c r="I19" t="s">
        <v>91</v>
      </c>
      <c r="K19">
        <f t="shared" si="0"/>
        <v>44.591388605236254</v>
      </c>
      <c r="M19" s="1" t="s">
        <v>89</v>
      </c>
      <c r="N19">
        <v>2.3412462908011902</v>
      </c>
      <c r="O19">
        <v>3.3639927664429399</v>
      </c>
      <c r="P19" t="s">
        <v>92</v>
      </c>
      <c r="R19" s="1" t="s">
        <v>89</v>
      </c>
      <c r="S19">
        <v>1.7234508866308</v>
      </c>
      <c r="T19">
        <v>2.6573546195640998</v>
      </c>
      <c r="U19" t="s">
        <v>93</v>
      </c>
      <c r="W19">
        <f t="shared" si="1"/>
        <v>35.846417728684315</v>
      </c>
    </row>
    <row r="20" spans="1:23" x14ac:dyDescent="0.25">
      <c r="A20" s="1" t="s">
        <v>94</v>
      </c>
      <c r="B20">
        <v>3.9019933554817299</v>
      </c>
      <c r="C20">
        <v>4.5498199134194399</v>
      </c>
      <c r="D20" t="s">
        <v>95</v>
      </c>
      <c r="F20" s="1" t="s">
        <v>94</v>
      </c>
      <c r="G20">
        <v>2.8921256258534398</v>
      </c>
      <c r="H20">
        <v>3.9510108301753202</v>
      </c>
      <c r="I20" t="s">
        <v>96</v>
      </c>
      <c r="K20">
        <f t="shared" si="0"/>
        <v>34.917837613996703</v>
      </c>
      <c r="M20" s="1" t="s">
        <v>94</v>
      </c>
      <c r="N20">
        <v>3.0098911968348201</v>
      </c>
      <c r="O20">
        <v>4.6047005099974303</v>
      </c>
      <c r="P20" t="s">
        <v>97</v>
      </c>
      <c r="R20" s="1" t="s">
        <v>94</v>
      </c>
      <c r="S20">
        <v>2.5235438666401002</v>
      </c>
      <c r="T20">
        <v>4.3578314544437999</v>
      </c>
      <c r="U20" t="s">
        <v>98</v>
      </c>
      <c r="W20">
        <f t="shared" si="1"/>
        <v>19.272394533099714</v>
      </c>
    </row>
    <row r="21" spans="1:23" x14ac:dyDescent="0.25">
      <c r="A21" s="1" t="s">
        <v>99</v>
      </c>
      <c r="B21">
        <v>2.9335548172757502</v>
      </c>
      <c r="C21">
        <v>3.7124923329592501</v>
      </c>
      <c r="D21" t="s">
        <v>100</v>
      </c>
      <c r="F21" s="1" t="s">
        <v>99</v>
      </c>
      <c r="G21">
        <v>1.95015930814747</v>
      </c>
      <c r="H21">
        <v>2.8375103180477002</v>
      </c>
      <c r="I21" t="s">
        <v>101</v>
      </c>
      <c r="K21">
        <f t="shared" si="0"/>
        <v>50.426419268405553</v>
      </c>
      <c r="M21" s="1" t="s">
        <v>99</v>
      </c>
      <c r="N21">
        <v>2.7265084075173101</v>
      </c>
      <c r="O21">
        <v>3.8142003447439898</v>
      </c>
      <c r="P21" t="s">
        <v>102</v>
      </c>
      <c r="R21" s="1" t="s">
        <v>99</v>
      </c>
      <c r="S21">
        <v>1.8305107259082101</v>
      </c>
      <c r="T21">
        <v>3.12049317282366</v>
      </c>
      <c r="U21" t="s">
        <v>103</v>
      </c>
      <c r="W21">
        <f t="shared" si="1"/>
        <v>48.947961294493354</v>
      </c>
    </row>
    <row r="22" spans="1:23" x14ac:dyDescent="0.25">
      <c r="A22" s="1" t="s">
        <v>104</v>
      </c>
      <c r="B22">
        <v>139.858803986711</v>
      </c>
      <c r="C22">
        <v>81.472441553429505</v>
      </c>
      <c r="D22" t="s">
        <v>105</v>
      </c>
      <c r="F22" s="1" t="s">
        <v>104</v>
      </c>
      <c r="G22">
        <v>116.35912608101999</v>
      </c>
      <c r="H22">
        <v>95.266314510485202</v>
      </c>
      <c r="I22" t="s">
        <v>106</v>
      </c>
      <c r="K22">
        <f t="shared" si="0"/>
        <v>20.195818494999997</v>
      </c>
      <c r="M22" s="1" t="s">
        <v>104</v>
      </c>
      <c r="N22">
        <v>145.43026706231399</v>
      </c>
      <c r="O22">
        <v>93.637339479015793</v>
      </c>
      <c r="P22" t="s">
        <v>107</v>
      </c>
      <c r="R22" s="1" t="s">
        <v>104</v>
      </c>
      <c r="S22">
        <v>129.26778242677801</v>
      </c>
      <c r="T22">
        <v>115.274563168719</v>
      </c>
      <c r="U22" t="s">
        <v>108</v>
      </c>
      <c r="W22">
        <f t="shared" si="1"/>
        <v>12.503103505075593</v>
      </c>
    </row>
    <row r="23" spans="1:23" x14ac:dyDescent="0.25">
      <c r="A23" s="1" t="s">
        <v>109</v>
      </c>
      <c r="B23">
        <v>34.2541528239203</v>
      </c>
      <c r="C23">
        <v>22.793222078986499</v>
      </c>
      <c r="D23" t="s">
        <v>110</v>
      </c>
      <c r="F23" s="1" t="s">
        <v>109</v>
      </c>
      <c r="G23">
        <v>28.918070095584898</v>
      </c>
      <c r="H23">
        <v>25.224584250961001</v>
      </c>
      <c r="I23" t="s">
        <v>111</v>
      </c>
      <c r="K23">
        <f t="shared" si="0"/>
        <v>18.452416467273501</v>
      </c>
      <c r="M23" s="1" t="s">
        <v>109</v>
      </c>
      <c r="N23">
        <v>34.792284866468798</v>
      </c>
      <c r="O23">
        <v>26.194574715094301</v>
      </c>
      <c r="P23" t="s">
        <v>112</v>
      </c>
      <c r="R23" s="1" t="s">
        <v>109</v>
      </c>
      <c r="S23">
        <v>31.672179052932201</v>
      </c>
      <c r="T23">
        <v>30.543648185196101</v>
      </c>
      <c r="U23" t="s">
        <v>113</v>
      </c>
      <c r="W23">
        <f t="shared" si="1"/>
        <v>9.8512508669583898</v>
      </c>
    </row>
    <row r="24" spans="1:23" x14ac:dyDescent="0.25">
      <c r="A24" s="1" t="s">
        <v>114</v>
      </c>
      <c r="B24">
        <v>18.066445182724301</v>
      </c>
      <c r="C24">
        <v>11.953135205978301</v>
      </c>
      <c r="D24" t="s">
        <v>115</v>
      </c>
      <c r="F24" s="1" t="s">
        <v>114</v>
      </c>
      <c r="G24">
        <v>12.628356850250301</v>
      </c>
      <c r="H24">
        <v>11.9193750527144</v>
      </c>
      <c r="I24" t="s">
        <v>116</v>
      </c>
      <c r="K24">
        <f t="shared" si="0"/>
        <v>43.062517134730918</v>
      </c>
      <c r="M24" s="1" t="s">
        <v>114</v>
      </c>
      <c r="N24">
        <v>17.623145400593501</v>
      </c>
      <c r="O24">
        <v>13.6460312771388</v>
      </c>
      <c r="P24" t="s">
        <v>117</v>
      </c>
      <c r="R24" s="1" t="s">
        <v>114</v>
      </c>
      <c r="S24">
        <v>13.5583449558345</v>
      </c>
      <c r="T24">
        <v>13.8664520776726</v>
      </c>
      <c r="U24" t="s">
        <v>118</v>
      </c>
      <c r="W24">
        <f t="shared" si="1"/>
        <v>29.980063628708713</v>
      </c>
    </row>
    <row r="25" spans="1:23" x14ac:dyDescent="0.25">
      <c r="A25" s="1" t="s">
        <v>119</v>
      </c>
      <c r="B25">
        <v>15.182724252491701</v>
      </c>
      <c r="C25">
        <v>12.4016195290026</v>
      </c>
      <c r="D25" t="s">
        <v>120</v>
      </c>
      <c r="F25" s="1" t="s">
        <v>119</v>
      </c>
      <c r="G25">
        <v>13.935366408739201</v>
      </c>
      <c r="H25">
        <v>12.7998979556818</v>
      </c>
      <c r="I25" t="s">
        <v>121</v>
      </c>
      <c r="K25">
        <f t="shared" si="0"/>
        <v>8.9510229380854458</v>
      </c>
      <c r="M25" s="1" t="s">
        <v>119</v>
      </c>
      <c r="N25">
        <v>15.816023738872399</v>
      </c>
      <c r="O25">
        <v>13.534195532208001</v>
      </c>
      <c r="P25" t="s">
        <v>122</v>
      </c>
      <c r="R25" s="1" t="s">
        <v>119</v>
      </c>
      <c r="S25">
        <v>15.380686723783001</v>
      </c>
      <c r="T25">
        <v>15.668799723764</v>
      </c>
      <c r="U25" t="s">
        <v>123</v>
      </c>
      <c r="W25">
        <f t="shared" si="1"/>
        <v>2.8304133808033516</v>
      </c>
    </row>
    <row r="26" spans="1:23" x14ac:dyDescent="0.25">
      <c r="A26" s="1" t="s">
        <v>124</v>
      </c>
      <c r="B26">
        <v>16.978405315614602</v>
      </c>
      <c r="C26">
        <v>13.472515886351401</v>
      </c>
      <c r="D26" t="s">
        <v>125</v>
      </c>
      <c r="F26" s="1" t="s">
        <v>124</v>
      </c>
      <c r="G26">
        <v>14.1392808375057</v>
      </c>
      <c r="H26">
        <v>12.922969174492099</v>
      </c>
      <c r="I26" t="s">
        <v>126</v>
      </c>
      <c r="K26">
        <f t="shared" si="0"/>
        <v>20.079695075989097</v>
      </c>
      <c r="M26" s="1" t="s">
        <v>124</v>
      </c>
      <c r="N26">
        <v>16.5524233432245</v>
      </c>
      <c r="O26">
        <v>13.961740737330601</v>
      </c>
      <c r="P26" t="s">
        <v>127</v>
      </c>
      <c r="R26" s="1" t="s">
        <v>124</v>
      </c>
      <c r="S26">
        <v>15.449956830710001</v>
      </c>
      <c r="T26">
        <v>15.177834736010301</v>
      </c>
      <c r="U26" t="s">
        <v>128</v>
      </c>
      <c r="W26">
        <f t="shared" si="1"/>
        <v>7.1357255207543266</v>
      </c>
    </row>
    <row r="27" spans="1:23" x14ac:dyDescent="0.25">
      <c r="A27" s="1" t="s">
        <v>129</v>
      </c>
      <c r="B27">
        <v>9.8089700996677696</v>
      </c>
      <c r="C27">
        <v>7.2634099472859504</v>
      </c>
      <c r="D27" t="s">
        <v>130</v>
      </c>
      <c r="F27" s="1" t="s">
        <v>129</v>
      </c>
      <c r="G27">
        <v>8.7969959035047793</v>
      </c>
      <c r="H27">
        <v>7.87980097796218</v>
      </c>
      <c r="I27" t="s">
        <v>131</v>
      </c>
      <c r="K27">
        <f t="shared" si="0"/>
        <v>11.503633822994203</v>
      </c>
      <c r="M27" s="1" t="s">
        <v>129</v>
      </c>
      <c r="N27">
        <v>9.8155291790306602</v>
      </c>
      <c r="O27">
        <v>7.8072459138873098</v>
      </c>
      <c r="P27" t="s">
        <v>132</v>
      </c>
      <c r="R27" s="1" t="s">
        <v>129</v>
      </c>
      <c r="S27">
        <v>9.6442186358504394</v>
      </c>
      <c r="T27">
        <v>9.56571279449442</v>
      </c>
      <c r="U27" t="s">
        <v>133</v>
      </c>
      <c r="W27">
        <f t="shared" si="1"/>
        <v>1.7763029815957141</v>
      </c>
    </row>
    <row r="28" spans="1:23" x14ac:dyDescent="0.25">
      <c r="A28" s="1" t="s">
        <v>134</v>
      </c>
      <c r="B28">
        <v>36.438538205980102</v>
      </c>
      <c r="C28">
        <v>22.3033922907834</v>
      </c>
      <c r="D28" t="s">
        <v>135</v>
      </c>
      <c r="F28" s="1" t="s">
        <v>134</v>
      </c>
      <c r="G28">
        <v>27.0805644060082</v>
      </c>
      <c r="H28">
        <v>24.4309862480176</v>
      </c>
      <c r="I28" t="s">
        <v>136</v>
      </c>
      <c r="K28">
        <f t="shared" si="0"/>
        <v>34.556051564034995</v>
      </c>
      <c r="M28" s="1" t="s">
        <v>134</v>
      </c>
      <c r="N28">
        <v>40.494065281899097</v>
      </c>
      <c r="O28">
        <v>26.495482691575301</v>
      </c>
      <c r="P28" t="s">
        <v>137</v>
      </c>
      <c r="R28" s="1" t="s">
        <v>134</v>
      </c>
      <c r="S28">
        <v>31.488277877399199</v>
      </c>
      <c r="T28">
        <v>30.347618704195501</v>
      </c>
      <c r="U28" t="s">
        <v>138</v>
      </c>
      <c r="W28">
        <f t="shared" si="1"/>
        <v>28.600444392558629</v>
      </c>
    </row>
    <row r="29" spans="1:23" x14ac:dyDescent="0.25">
      <c r="A29" s="1" t="s">
        <v>139</v>
      </c>
      <c r="B29">
        <v>9.5813953488372103</v>
      </c>
      <c r="C29">
        <v>8.2317222152352194</v>
      </c>
      <c r="D29" t="s">
        <v>140</v>
      </c>
      <c r="F29" s="1" t="s">
        <v>139</v>
      </c>
      <c r="G29">
        <v>13.1242603550296</v>
      </c>
      <c r="H29">
        <v>12.656038632742501</v>
      </c>
      <c r="I29" t="s">
        <v>141</v>
      </c>
      <c r="K29">
        <f t="shared" si="0"/>
        <v>-26.994778451150282</v>
      </c>
      <c r="M29" s="1" t="s">
        <v>139</v>
      </c>
      <c r="N29">
        <v>9.5637982195845694</v>
      </c>
      <c r="O29">
        <v>9.47366124120183</v>
      </c>
      <c r="P29" t="s">
        <v>142</v>
      </c>
      <c r="R29" s="1" t="s">
        <v>139</v>
      </c>
      <c r="S29">
        <v>13.6623497376636</v>
      </c>
      <c r="T29">
        <v>14.8849408108587</v>
      </c>
      <c r="U29" t="s">
        <v>143</v>
      </c>
      <c r="W29">
        <f t="shared" si="1"/>
        <v>-29.998877182746785</v>
      </c>
    </row>
    <row r="30" spans="1:23" x14ac:dyDescent="0.25">
      <c r="A30" s="1" t="s">
        <v>144</v>
      </c>
      <c r="B30">
        <v>7.4302325581395303</v>
      </c>
      <c r="C30">
        <v>6.6948672528423696</v>
      </c>
      <c r="D30" t="s">
        <v>145</v>
      </c>
      <c r="F30" s="1" t="s">
        <v>144</v>
      </c>
      <c r="G30">
        <v>4.9289940828402399</v>
      </c>
      <c r="H30">
        <v>5.50326034097702</v>
      </c>
      <c r="I30" t="s">
        <v>146</v>
      </c>
      <c r="K30">
        <f t="shared" si="0"/>
        <v>50.745414444847512</v>
      </c>
      <c r="M30" s="1" t="s">
        <v>144</v>
      </c>
      <c r="N30">
        <v>7.3298714144411496</v>
      </c>
      <c r="O30">
        <v>7.0455145653551998</v>
      </c>
      <c r="P30" t="s">
        <v>147</v>
      </c>
      <c r="R30" s="1" t="s">
        <v>144</v>
      </c>
      <c r="S30">
        <v>5.6292090057780397</v>
      </c>
      <c r="T30">
        <v>7.7341971218417003</v>
      </c>
      <c r="U30" t="s">
        <v>148</v>
      </c>
      <c r="W30">
        <f t="shared" si="1"/>
        <v>30.211392167487183</v>
      </c>
    </row>
    <row r="31" spans="1:23" x14ac:dyDescent="0.25">
      <c r="A31" s="1" t="s">
        <v>149</v>
      </c>
      <c r="B31">
        <v>9.4352159468438508</v>
      </c>
      <c r="C31">
        <v>8.1326332040628202</v>
      </c>
      <c r="D31" t="s">
        <v>150</v>
      </c>
      <c r="F31" s="1" t="s">
        <v>149</v>
      </c>
      <c r="G31">
        <v>8.9908966772872105</v>
      </c>
      <c r="H31">
        <v>9.1861101695517</v>
      </c>
      <c r="I31" t="s">
        <v>151</v>
      </c>
      <c r="K31">
        <f t="shared" si="0"/>
        <v>4.9418793865030048</v>
      </c>
      <c r="M31" s="1" t="s">
        <v>149</v>
      </c>
      <c r="N31">
        <v>10.9821958456973</v>
      </c>
      <c r="O31">
        <v>10.685957505216299</v>
      </c>
      <c r="P31" t="s">
        <v>152</v>
      </c>
      <c r="R31" s="1" t="s">
        <v>149</v>
      </c>
      <c r="S31">
        <v>11.0735870359301</v>
      </c>
      <c r="T31">
        <v>13.417512946292799</v>
      </c>
      <c r="U31" t="s">
        <v>153</v>
      </c>
      <c r="W31">
        <f t="shared" si="1"/>
        <v>-0.82530791455619579</v>
      </c>
    </row>
    <row r="32" spans="1:23" x14ac:dyDescent="0.25">
      <c r="A32" s="1" t="s">
        <v>154</v>
      </c>
      <c r="B32">
        <v>2.9750830564784101</v>
      </c>
      <c r="C32">
        <v>4.3400825509234897</v>
      </c>
      <c r="D32" t="s">
        <v>155</v>
      </c>
      <c r="F32" s="1" t="s">
        <v>154</v>
      </c>
      <c r="G32">
        <v>2.6706873008648202</v>
      </c>
      <c r="H32">
        <v>3.7462321772267302</v>
      </c>
      <c r="I32" t="s">
        <v>156</v>
      </c>
      <c r="K32">
        <f t="shared" si="0"/>
        <v>11.397656158211433</v>
      </c>
      <c r="M32" s="1" t="s">
        <v>154</v>
      </c>
      <c r="N32">
        <v>3.4792284866468801</v>
      </c>
      <c r="O32">
        <v>4.5446069738187003</v>
      </c>
      <c r="P32" t="s">
        <v>157</v>
      </c>
      <c r="R32" s="1" t="s">
        <v>154</v>
      </c>
      <c r="S32">
        <v>3.3097562595470502</v>
      </c>
      <c r="T32">
        <v>5.3366059903879002</v>
      </c>
      <c r="U32" t="s">
        <v>158</v>
      </c>
      <c r="W32">
        <f t="shared" si="1"/>
        <v>5.1203839137998237</v>
      </c>
    </row>
    <row r="33" spans="1:23" x14ac:dyDescent="0.25">
      <c r="A33" s="1" t="s">
        <v>159</v>
      </c>
      <c r="B33">
        <v>2.2392026578073101</v>
      </c>
      <c r="C33">
        <v>2.84003785252707</v>
      </c>
      <c r="D33" t="s">
        <v>160</v>
      </c>
      <c r="F33" s="1" t="s">
        <v>159</v>
      </c>
      <c r="G33">
        <v>3.2730996813837101</v>
      </c>
      <c r="H33">
        <v>4.4590424420200199</v>
      </c>
      <c r="I33" t="s">
        <v>161</v>
      </c>
      <c r="K33">
        <f t="shared" si="0"/>
        <v>-31.587703529374878</v>
      </c>
      <c r="M33" s="1" t="s">
        <v>159</v>
      </c>
      <c r="N33">
        <v>2.5909990108803198</v>
      </c>
      <c r="O33">
        <v>4.2066108161010796</v>
      </c>
      <c r="P33" t="s">
        <v>162</v>
      </c>
      <c r="R33" s="1" t="s">
        <v>159</v>
      </c>
      <c r="S33">
        <v>3.7415155741515602</v>
      </c>
      <c r="T33">
        <v>6.4185610783149798</v>
      </c>
      <c r="U33" t="s">
        <v>163</v>
      </c>
      <c r="W33">
        <f t="shared" si="1"/>
        <v>-30.750014010890116</v>
      </c>
    </row>
    <row r="34" spans="1:23" x14ac:dyDescent="0.25">
      <c r="A34" s="1" t="s">
        <v>164</v>
      </c>
      <c r="B34">
        <v>1.58970099667774</v>
      </c>
      <c r="C34">
        <v>2.34597263360771</v>
      </c>
      <c r="D34" t="s">
        <v>165</v>
      </c>
      <c r="F34" s="1" t="s">
        <v>164</v>
      </c>
      <c r="G34">
        <v>1.51570323167956</v>
      </c>
      <c r="H34">
        <v>2.4100204576299502</v>
      </c>
      <c r="I34" t="s">
        <v>166</v>
      </c>
      <c r="K34">
        <f t="shared" si="0"/>
        <v>4.8820747657958501</v>
      </c>
      <c r="M34" s="1" t="s">
        <v>164</v>
      </c>
      <c r="N34">
        <v>1.8175074183976301</v>
      </c>
      <c r="O34">
        <v>3.8728977625753398</v>
      </c>
      <c r="P34" t="s">
        <v>167</v>
      </c>
      <c r="R34" s="1" t="s">
        <v>164</v>
      </c>
      <c r="S34">
        <v>1.95795975293883</v>
      </c>
      <c r="T34">
        <v>3.2199562512664301</v>
      </c>
      <c r="U34" t="s">
        <v>168</v>
      </c>
      <c r="W34">
        <f t="shared" si="1"/>
        <v>-7.1734025344691466</v>
      </c>
    </row>
    <row r="35" spans="1:23" x14ac:dyDescent="0.25">
      <c r="A35" s="1" t="s">
        <v>169</v>
      </c>
      <c r="B35">
        <v>10.182724252491701</v>
      </c>
      <c r="C35">
        <v>18.862665955324001</v>
      </c>
      <c r="D35" t="s">
        <v>170</v>
      </c>
      <c r="F35" s="1" t="s">
        <v>169</v>
      </c>
      <c r="G35">
        <v>9.7257624032771997</v>
      </c>
      <c r="H35">
        <v>18.036123196844802</v>
      </c>
      <c r="I35" t="s">
        <v>171</v>
      </c>
      <c r="K35">
        <f t="shared" si="0"/>
        <v>4.698468153617684</v>
      </c>
      <c r="M35" s="1" t="s">
        <v>169</v>
      </c>
      <c r="N35">
        <v>10.024727992087</v>
      </c>
      <c r="O35">
        <v>18.907791612762299</v>
      </c>
      <c r="P35" t="s">
        <v>172</v>
      </c>
      <c r="R35" s="1" t="s">
        <v>169</v>
      </c>
      <c r="S35">
        <v>11.096167895331099</v>
      </c>
      <c r="T35">
        <v>20.666769283306699</v>
      </c>
      <c r="U35" t="s">
        <v>173</v>
      </c>
      <c r="W35">
        <f t="shared" si="1"/>
        <v>-9.6559453078835116</v>
      </c>
    </row>
    <row r="36" spans="1:23" x14ac:dyDescent="0.25">
      <c r="A36" s="1" t="s">
        <v>174</v>
      </c>
      <c r="B36">
        <v>2.8122923588039899</v>
      </c>
      <c r="C36">
        <v>5.9313584760959097</v>
      </c>
      <c r="D36" t="s">
        <v>175</v>
      </c>
      <c r="F36" s="1" t="s">
        <v>174</v>
      </c>
      <c r="G36">
        <v>3.0887573964496999</v>
      </c>
      <c r="H36">
        <v>5.57002041180976</v>
      </c>
      <c r="I36" t="s">
        <v>176</v>
      </c>
      <c r="K36">
        <f t="shared" si="0"/>
        <v>-8.9506880004070997</v>
      </c>
      <c r="M36" s="1" t="s">
        <v>174</v>
      </c>
      <c r="N36">
        <v>2.8308605341246298</v>
      </c>
      <c r="O36">
        <v>6.1695551972849501</v>
      </c>
      <c r="P36" t="s">
        <v>177</v>
      </c>
      <c r="R36" s="1" t="s">
        <v>174</v>
      </c>
      <c r="S36">
        <v>3.7816962210267602</v>
      </c>
      <c r="T36">
        <v>7.1855504817093596</v>
      </c>
      <c r="U36" t="s">
        <v>178</v>
      </c>
      <c r="W36">
        <f t="shared" si="1"/>
        <v>-25.143100643974282</v>
      </c>
    </row>
    <row r="37" spans="1:23" x14ac:dyDescent="0.25">
      <c r="A37" s="1" t="s">
        <v>179</v>
      </c>
      <c r="B37">
        <v>4.5697674418604697</v>
      </c>
      <c r="C37">
        <v>11.884046673454399</v>
      </c>
      <c r="D37" t="s">
        <v>180</v>
      </c>
      <c r="F37" s="1" t="s">
        <v>179</v>
      </c>
      <c r="G37">
        <v>3.63905325443787</v>
      </c>
      <c r="H37">
        <v>10.197297241724799</v>
      </c>
      <c r="I37" t="s">
        <v>181</v>
      </c>
      <c r="K37">
        <f t="shared" si="0"/>
        <v>25.575723199092575</v>
      </c>
      <c r="M37" s="1" t="s">
        <v>179</v>
      </c>
      <c r="N37">
        <v>4.4366963402571704</v>
      </c>
      <c r="O37">
        <v>11.055288097518099</v>
      </c>
      <c r="P37" t="s">
        <v>182</v>
      </c>
      <c r="R37" s="1" t="s">
        <v>179</v>
      </c>
      <c r="S37">
        <v>3.9242877067144799</v>
      </c>
      <c r="T37">
        <v>11.2417571880433</v>
      </c>
      <c r="U37" t="s">
        <v>183</v>
      </c>
      <c r="W37">
        <f t="shared" si="1"/>
        <v>13.057366631553446</v>
      </c>
    </row>
    <row r="38" spans="1:23" x14ac:dyDescent="0.25">
      <c r="A38" s="1" t="s">
        <v>184</v>
      </c>
      <c r="B38">
        <v>1.8006644518272401</v>
      </c>
      <c r="C38">
        <v>4.4628396782440296</v>
      </c>
      <c r="D38" t="s">
        <v>185</v>
      </c>
      <c r="F38" s="1" t="s">
        <v>184</v>
      </c>
      <c r="G38">
        <v>1.3504779244424201</v>
      </c>
      <c r="H38">
        <v>3.17141598543743</v>
      </c>
      <c r="I38" t="s">
        <v>186</v>
      </c>
      <c r="K38">
        <f t="shared" si="0"/>
        <v>33.335348859603997</v>
      </c>
      <c r="M38" s="1" t="s">
        <v>184</v>
      </c>
      <c r="N38">
        <v>1.26162215628091</v>
      </c>
      <c r="O38">
        <v>3.0847024737360398</v>
      </c>
      <c r="P38" t="s">
        <v>187</v>
      </c>
      <c r="R38" s="1" t="s">
        <v>184</v>
      </c>
      <c r="S38">
        <v>1.14591220030551</v>
      </c>
      <c r="T38">
        <v>2.7529622594413001</v>
      </c>
      <c r="U38" t="s">
        <v>188</v>
      </c>
      <c r="W38">
        <f t="shared" si="1"/>
        <v>10.097628417303763</v>
      </c>
    </row>
    <row r="39" spans="1:23" x14ac:dyDescent="0.25">
      <c r="A39" s="1" t="s">
        <v>189</v>
      </c>
      <c r="B39">
        <v>1.5033222591362101</v>
      </c>
      <c r="C39">
        <v>5.6830444249459902</v>
      </c>
      <c r="D39" t="s">
        <v>190</v>
      </c>
      <c r="F39" s="1" t="s">
        <v>189</v>
      </c>
      <c r="G39">
        <v>2.03254437869822</v>
      </c>
      <c r="H39">
        <v>6.8178196462543497</v>
      </c>
      <c r="I39" t="s">
        <v>191</v>
      </c>
      <c r="K39">
        <f t="shared" si="0"/>
        <v>-26.037420147301276</v>
      </c>
      <c r="M39" s="1" t="s">
        <v>189</v>
      </c>
      <c r="N39">
        <v>1.8452027695351101</v>
      </c>
      <c r="O39">
        <v>6.3749939979932897</v>
      </c>
      <c r="P39" t="s">
        <v>192</v>
      </c>
      <c r="R39" s="1" t="s">
        <v>189</v>
      </c>
      <c r="S39">
        <v>2.7722653915122502</v>
      </c>
      <c r="T39">
        <v>7.95758756924005</v>
      </c>
      <c r="U39" t="s">
        <v>193</v>
      </c>
      <c r="W39">
        <f t="shared" si="1"/>
        <v>-33.440615924272471</v>
      </c>
    </row>
    <row r="40" spans="1:23" x14ac:dyDescent="0.25">
      <c r="A40" s="1" t="s">
        <v>194</v>
      </c>
      <c r="B40">
        <v>74.636212624584701</v>
      </c>
      <c r="C40">
        <v>45.708170198588498</v>
      </c>
      <c r="D40" t="s">
        <v>195</v>
      </c>
      <c r="F40" s="1" t="s">
        <v>194</v>
      </c>
      <c r="G40">
        <v>67.567592171142493</v>
      </c>
      <c r="H40">
        <v>59.045801312690102</v>
      </c>
      <c r="I40" t="s">
        <v>196</v>
      </c>
      <c r="K40">
        <f t="shared" si="0"/>
        <v>10.46155446169821</v>
      </c>
      <c r="M40" s="1" t="s">
        <v>194</v>
      </c>
      <c r="N40">
        <v>84.544015825914897</v>
      </c>
      <c r="O40">
        <v>60.3250865936729</v>
      </c>
      <c r="P40" t="s">
        <v>197</v>
      </c>
      <c r="R40" s="1" t="s">
        <v>194</v>
      </c>
      <c r="S40">
        <v>79.434083814836995</v>
      </c>
      <c r="T40">
        <v>75.537988463608201</v>
      </c>
      <c r="U40" t="s">
        <v>198</v>
      </c>
      <c r="W40">
        <f t="shared" si="1"/>
        <v>6.4329211915999327</v>
      </c>
    </row>
    <row r="41" spans="1:23" x14ac:dyDescent="0.25">
      <c r="A41" s="1" t="s">
        <v>199</v>
      </c>
      <c r="B41">
        <v>15.1544850498339</v>
      </c>
      <c r="C41">
        <v>11.3750634300303</v>
      </c>
      <c r="D41" t="s">
        <v>200</v>
      </c>
      <c r="F41" s="1" t="s">
        <v>199</v>
      </c>
      <c r="G41">
        <v>14.995220755575801</v>
      </c>
      <c r="H41">
        <v>14.255808195154501</v>
      </c>
      <c r="I41" t="s">
        <v>201</v>
      </c>
      <c r="K41">
        <f t="shared" si="0"/>
        <v>1.0621003642035645</v>
      </c>
      <c r="M41" s="1" t="s">
        <v>199</v>
      </c>
      <c r="N41">
        <v>18.0242334322453</v>
      </c>
      <c r="O41">
        <v>14.3891248409066</v>
      </c>
      <c r="P41" t="s">
        <v>202</v>
      </c>
      <c r="R41" s="1" t="s">
        <v>199</v>
      </c>
      <c r="S41">
        <v>17.883575745500401</v>
      </c>
      <c r="T41">
        <v>18.2081426229153</v>
      </c>
      <c r="U41" t="s">
        <v>203</v>
      </c>
      <c r="W41">
        <f t="shared" si="1"/>
        <v>0.78651880779652528</v>
      </c>
    </row>
    <row r="42" spans="1:23" x14ac:dyDescent="0.25">
      <c r="A42" s="1" t="s">
        <v>204</v>
      </c>
      <c r="B42">
        <v>39.343853820598</v>
      </c>
      <c r="C42">
        <v>25.8593991208948</v>
      </c>
      <c r="D42" t="s">
        <v>205</v>
      </c>
      <c r="F42" s="1" t="s">
        <v>204</v>
      </c>
      <c r="G42">
        <v>33.142694583523003</v>
      </c>
      <c r="H42">
        <v>30.875109264071</v>
      </c>
      <c r="I42" t="s">
        <v>206</v>
      </c>
      <c r="K42">
        <f t="shared" si="0"/>
        <v>18.710486021127331</v>
      </c>
      <c r="M42" s="1" t="s">
        <v>204</v>
      </c>
      <c r="N42">
        <v>44.106330365974301</v>
      </c>
      <c r="O42">
        <v>33.268212201488701</v>
      </c>
      <c r="P42" t="s">
        <v>207</v>
      </c>
      <c r="R42" s="1" t="s">
        <v>204</v>
      </c>
      <c r="S42">
        <v>38.762701733413003</v>
      </c>
      <c r="T42">
        <v>38.4188311158061</v>
      </c>
      <c r="U42" t="s">
        <v>208</v>
      </c>
      <c r="W42">
        <f t="shared" si="1"/>
        <v>13.785490674286905</v>
      </c>
    </row>
    <row r="43" spans="1:23" x14ac:dyDescent="0.25">
      <c r="A43" s="1" t="s">
        <v>209</v>
      </c>
      <c r="B43">
        <v>25.9318936877076</v>
      </c>
      <c r="C43">
        <v>18.067547857766201</v>
      </c>
      <c r="D43" t="s">
        <v>210</v>
      </c>
      <c r="F43" s="1" t="s">
        <v>209</v>
      </c>
      <c r="G43">
        <v>25.5955848884843</v>
      </c>
      <c r="H43">
        <v>23.233610836724701</v>
      </c>
      <c r="I43" t="s">
        <v>211</v>
      </c>
      <c r="K43">
        <f t="shared" si="0"/>
        <v>1.3139328547815619</v>
      </c>
      <c r="M43" s="1" t="s">
        <v>209</v>
      </c>
      <c r="N43">
        <v>28.219584569732898</v>
      </c>
      <c r="O43">
        <v>22.818459419461401</v>
      </c>
      <c r="P43" t="s">
        <v>212</v>
      </c>
      <c r="R43" s="1" t="s">
        <v>209</v>
      </c>
      <c r="S43">
        <v>29.5670452281331</v>
      </c>
      <c r="T43">
        <v>30.187890814848998</v>
      </c>
      <c r="U43" t="s">
        <v>213</v>
      </c>
      <c r="W43">
        <f t="shared" si="1"/>
        <v>-4.5573057706763693</v>
      </c>
    </row>
    <row r="44" spans="1:23" x14ac:dyDescent="0.25">
      <c r="A44" s="1" t="s">
        <v>214</v>
      </c>
      <c r="B44">
        <v>50.875415282391998</v>
      </c>
      <c r="C44">
        <v>34.5624337087323</v>
      </c>
      <c r="D44" t="s">
        <v>215</v>
      </c>
      <c r="F44" s="1" t="s">
        <v>214</v>
      </c>
      <c r="G44">
        <v>37.340919435594003</v>
      </c>
      <c r="H44">
        <v>34.036760910208599</v>
      </c>
      <c r="I44" t="s">
        <v>216</v>
      </c>
      <c r="K44">
        <f t="shared" si="0"/>
        <v>36.2457487693693</v>
      </c>
      <c r="M44" s="1" t="s">
        <v>214</v>
      </c>
      <c r="N44">
        <v>56.000989119683503</v>
      </c>
      <c r="O44">
        <v>42.039436246360502</v>
      </c>
      <c r="P44" t="s">
        <v>217</v>
      </c>
      <c r="R44" s="1" t="s">
        <v>214</v>
      </c>
      <c r="S44">
        <v>43.6735737530717</v>
      </c>
      <c r="T44">
        <v>45.1076250288829</v>
      </c>
      <c r="U44" t="s">
        <v>218</v>
      </c>
      <c r="W44">
        <f t="shared" si="1"/>
        <v>28.226257453329605</v>
      </c>
    </row>
    <row r="45" spans="1:23" x14ac:dyDescent="0.25">
      <c r="A45" s="1" t="s">
        <v>219</v>
      </c>
      <c r="B45">
        <v>23.141196013289001</v>
      </c>
      <c r="C45">
        <v>19.663432548738399</v>
      </c>
      <c r="D45" t="s">
        <v>220</v>
      </c>
      <c r="F45" s="1" t="s">
        <v>219</v>
      </c>
      <c r="G45">
        <v>16.6568047337278</v>
      </c>
      <c r="H45">
        <v>18.348291226327401</v>
      </c>
      <c r="I45" t="s">
        <v>221</v>
      </c>
      <c r="K45">
        <f t="shared" si="0"/>
        <v>38.929382815127667</v>
      </c>
      <c r="M45" s="1" t="s">
        <v>219</v>
      </c>
      <c r="N45">
        <v>24.5232443125618</v>
      </c>
      <c r="O45">
        <v>22.671223343607799</v>
      </c>
      <c r="P45" t="s">
        <v>222</v>
      </c>
      <c r="R45" s="1" t="s">
        <v>219</v>
      </c>
      <c r="S45">
        <v>19.712293285514999</v>
      </c>
      <c r="T45">
        <v>25.926187906219901</v>
      </c>
      <c r="U45" t="s">
        <v>223</v>
      </c>
      <c r="W45">
        <f t="shared" si="1"/>
        <v>24.405841356784133</v>
      </c>
    </row>
    <row r="46" spans="1:23" x14ac:dyDescent="0.25">
      <c r="A46" s="1" t="s">
        <v>224</v>
      </c>
      <c r="B46">
        <v>24.302325581395401</v>
      </c>
      <c r="C46">
        <v>18.6597958528898</v>
      </c>
      <c r="D46" t="s">
        <v>225</v>
      </c>
      <c r="F46" s="1" t="s">
        <v>224</v>
      </c>
      <c r="G46">
        <v>14.9410559854347</v>
      </c>
      <c r="H46">
        <v>15.145036228210101</v>
      </c>
      <c r="I46" t="s">
        <v>226</v>
      </c>
      <c r="K46">
        <f t="shared" si="0"/>
        <v>62.654671832342657</v>
      </c>
      <c r="M46" s="1" t="s">
        <v>224</v>
      </c>
      <c r="N46">
        <v>27.210187932739899</v>
      </c>
      <c r="O46">
        <v>22.5536873378324</v>
      </c>
      <c r="P46" t="s">
        <v>227</v>
      </c>
      <c r="R46" s="1" t="s">
        <v>224</v>
      </c>
      <c r="S46">
        <v>17.690841469084098</v>
      </c>
      <c r="T46">
        <v>20.752149081184001</v>
      </c>
      <c r="U46" t="s">
        <v>228</v>
      </c>
      <c r="W46">
        <f t="shared" si="1"/>
        <v>53.809461128751167</v>
      </c>
    </row>
    <row r="47" spans="1:23" x14ac:dyDescent="0.25">
      <c r="A47" s="1" t="s">
        <v>229</v>
      </c>
      <c r="B47">
        <v>6.1495016611295696</v>
      </c>
      <c r="C47">
        <v>8.1193822099782302</v>
      </c>
      <c r="D47" t="s">
        <v>230</v>
      </c>
      <c r="F47" s="1" t="s">
        <v>229</v>
      </c>
      <c r="G47">
        <v>4.5409649522075597</v>
      </c>
      <c r="H47">
        <v>6.5993454536229397</v>
      </c>
      <c r="I47" t="s">
        <v>231</v>
      </c>
      <c r="K47">
        <f t="shared" si="0"/>
        <v>35.422795063415549</v>
      </c>
      <c r="M47" s="1" t="s">
        <v>229</v>
      </c>
      <c r="N47">
        <v>6.59841740850643</v>
      </c>
      <c r="O47">
        <v>8.3897487851977406</v>
      </c>
      <c r="P47" t="s">
        <v>232</v>
      </c>
      <c r="R47" s="1" t="s">
        <v>229</v>
      </c>
      <c r="S47">
        <v>5.3565783356578303</v>
      </c>
      <c r="T47">
        <v>7.5377394930778596</v>
      </c>
      <c r="U47" t="s">
        <v>233</v>
      </c>
      <c r="W47">
        <f t="shared" si="1"/>
        <v>23.183439035734594</v>
      </c>
    </row>
    <row r="48" spans="1:23" x14ac:dyDescent="0.25">
      <c r="A48" s="1" t="s">
        <v>234</v>
      </c>
      <c r="B48">
        <v>2.46511627906977</v>
      </c>
      <c r="C48">
        <v>4.1014115182901998</v>
      </c>
      <c r="D48" t="s">
        <v>235</v>
      </c>
      <c r="F48" s="1" t="s">
        <v>234</v>
      </c>
      <c r="G48">
        <v>1.9472007282658199</v>
      </c>
      <c r="H48">
        <v>3.4291552202344402</v>
      </c>
      <c r="I48" t="s">
        <v>236</v>
      </c>
      <c r="K48">
        <f t="shared" si="0"/>
        <v>26.597953836285104</v>
      </c>
      <c r="M48" s="1" t="s">
        <v>234</v>
      </c>
      <c r="N48">
        <v>2.7729970326409501</v>
      </c>
      <c r="O48">
        <v>5.4750934252152597</v>
      </c>
      <c r="P48" t="s">
        <v>237</v>
      </c>
      <c r="R48" s="1" t="s">
        <v>234</v>
      </c>
      <c r="S48">
        <v>2.41429235571495</v>
      </c>
      <c r="T48">
        <v>4.9284037384272104</v>
      </c>
      <c r="U48" t="s">
        <v>238</v>
      </c>
      <c r="W48">
        <f t="shared" si="1"/>
        <v>14.85754929708072</v>
      </c>
    </row>
    <row r="49" spans="1:23" x14ac:dyDescent="0.25">
      <c r="A49" s="1" t="s">
        <v>239</v>
      </c>
      <c r="B49">
        <v>5.3820598006644502</v>
      </c>
      <c r="C49">
        <v>7.9597705472250402</v>
      </c>
      <c r="D49" t="s">
        <v>240</v>
      </c>
      <c r="F49" s="1" t="s">
        <v>239</v>
      </c>
      <c r="G49">
        <v>5.7148384160218502</v>
      </c>
      <c r="H49">
        <v>9.6855370143283395</v>
      </c>
      <c r="I49" t="s">
        <v>241</v>
      </c>
      <c r="K49">
        <f t="shared" si="0"/>
        <v>-5.8230625458182264</v>
      </c>
      <c r="M49" s="1" t="s">
        <v>239</v>
      </c>
      <c r="N49">
        <v>5.8150346191889204</v>
      </c>
      <c r="O49">
        <v>9.7438957647700608</v>
      </c>
      <c r="P49" t="s">
        <v>242</v>
      </c>
      <c r="R49" s="1" t="s">
        <v>239</v>
      </c>
      <c r="S49">
        <v>5.83496048349605</v>
      </c>
      <c r="T49">
        <v>10.930636040546601</v>
      </c>
      <c r="U49" t="s">
        <v>243</v>
      </c>
      <c r="W49">
        <f t="shared" si="1"/>
        <v>-0.3414909897588701</v>
      </c>
    </row>
    <row r="50" spans="1:23" x14ac:dyDescent="0.25">
      <c r="A50" s="1" t="s">
        <v>244</v>
      </c>
      <c r="B50">
        <v>1.6445182724252501</v>
      </c>
      <c r="C50">
        <v>4.2921448412498702</v>
      </c>
      <c r="D50" t="s">
        <v>245</v>
      </c>
      <c r="F50" s="1" t="s">
        <v>244</v>
      </c>
      <c r="G50">
        <v>1.3177059626763801</v>
      </c>
      <c r="H50">
        <v>3.85175091153052</v>
      </c>
      <c r="I50" t="s">
        <v>246</v>
      </c>
      <c r="K50">
        <f t="shared" si="0"/>
        <v>24.801611209611938</v>
      </c>
      <c r="M50" s="1" t="s">
        <v>244</v>
      </c>
      <c r="N50">
        <v>2.2532146389713201</v>
      </c>
      <c r="O50">
        <v>5.6860095544732401</v>
      </c>
      <c r="P50" t="s">
        <v>247</v>
      </c>
      <c r="R50" s="1" t="s">
        <v>244</v>
      </c>
      <c r="S50">
        <v>1.7031945274623099</v>
      </c>
      <c r="T50">
        <v>5.3285927965801596</v>
      </c>
      <c r="U50" t="s">
        <v>248</v>
      </c>
      <c r="W50">
        <f t="shared" si="1"/>
        <v>32.293440510786375</v>
      </c>
    </row>
    <row r="51" spans="1:23" x14ac:dyDescent="0.25">
      <c r="A51" s="1" t="s">
        <v>249</v>
      </c>
      <c r="B51">
        <v>1.03488372093023</v>
      </c>
      <c r="C51">
        <v>2.58701076442973</v>
      </c>
      <c r="D51" t="s">
        <v>250</v>
      </c>
      <c r="F51" s="1" t="s">
        <v>249</v>
      </c>
      <c r="G51">
        <v>1.1463359126081001</v>
      </c>
      <c r="H51">
        <v>2.7867898358030798</v>
      </c>
      <c r="I51" t="s">
        <v>251</v>
      </c>
      <c r="K51">
        <f t="shared" si="0"/>
        <v>-9.7224723095604961</v>
      </c>
      <c r="M51" s="1" t="s">
        <v>249</v>
      </c>
      <c r="N51">
        <v>1.0454995054401599</v>
      </c>
      <c r="O51">
        <v>2.6396487821249099</v>
      </c>
      <c r="P51" t="s">
        <v>252</v>
      </c>
      <c r="R51" s="1" t="s">
        <v>249</v>
      </c>
      <c r="S51">
        <v>1.1072590821544801</v>
      </c>
      <c r="T51">
        <v>3.0032060510235401</v>
      </c>
      <c r="U51" t="s">
        <v>253</v>
      </c>
      <c r="W51">
        <f t="shared" si="1"/>
        <v>-5.5776988159040242</v>
      </c>
    </row>
    <row r="52" spans="1:23" x14ac:dyDescent="0.25">
      <c r="A52" s="1" t="s">
        <v>254</v>
      </c>
      <c r="B52">
        <v>0.141196013289037</v>
      </c>
      <c r="C52">
        <v>0.473943941851099</v>
      </c>
      <c r="D52" t="s">
        <v>255</v>
      </c>
      <c r="F52" s="1" t="s">
        <v>254</v>
      </c>
      <c r="G52">
        <v>0.35616750113791501</v>
      </c>
      <c r="H52">
        <v>0.94410096088211304</v>
      </c>
      <c r="I52" t="s">
        <v>256</v>
      </c>
      <c r="K52">
        <f t="shared" si="0"/>
        <v>-60.356850965365552</v>
      </c>
      <c r="M52" s="1" t="s">
        <v>254</v>
      </c>
      <c r="N52">
        <v>0.131552917903066</v>
      </c>
      <c r="O52">
        <v>0.58978896746580201</v>
      </c>
      <c r="P52" t="s">
        <v>257</v>
      </c>
      <c r="R52" s="1" t="s">
        <v>254</v>
      </c>
      <c r="S52">
        <v>0.34747957760510101</v>
      </c>
      <c r="T52">
        <v>0.90905480342221801</v>
      </c>
      <c r="U52" t="s">
        <v>258</v>
      </c>
      <c r="W52">
        <f t="shared" si="1"/>
        <v>-62.140820243378016</v>
      </c>
    </row>
    <row r="53" spans="1:23" x14ac:dyDescent="0.25">
      <c r="A53" s="1" t="s">
        <v>259</v>
      </c>
      <c r="B53">
        <v>29.071428571428601</v>
      </c>
      <c r="C53">
        <v>18.010254454334198</v>
      </c>
      <c r="D53" t="s">
        <v>260</v>
      </c>
      <c r="F53" s="1" t="s">
        <v>259</v>
      </c>
      <c r="G53">
        <v>29.8411470186618</v>
      </c>
      <c r="H53">
        <v>25.213863850211599</v>
      </c>
      <c r="I53" t="s">
        <v>261</v>
      </c>
      <c r="K53">
        <f t="shared" si="0"/>
        <v>-2.5793862640462151</v>
      </c>
      <c r="M53" s="1" t="s">
        <v>259</v>
      </c>
      <c r="N53">
        <v>30.0608308605341</v>
      </c>
      <c r="O53">
        <v>21.666807064132801</v>
      </c>
      <c r="P53" t="s">
        <v>262</v>
      </c>
      <c r="R53" s="1" t="s">
        <v>259</v>
      </c>
      <c r="S53">
        <v>32.9806070266321</v>
      </c>
      <c r="T53">
        <v>30.8181417318897</v>
      </c>
      <c r="U53" t="s">
        <v>263</v>
      </c>
      <c r="W53">
        <f t="shared" si="1"/>
        <v>-8.8530091751806079</v>
      </c>
    </row>
    <row r="54" spans="1:23" x14ac:dyDescent="0.25">
      <c r="A54" s="1" t="s">
        <v>264</v>
      </c>
      <c r="B54">
        <v>123.51827242524899</v>
      </c>
      <c r="C54">
        <v>68.410893973949896</v>
      </c>
      <c r="D54" t="s">
        <v>265</v>
      </c>
      <c r="F54" s="1" t="s">
        <v>264</v>
      </c>
      <c r="G54">
        <v>121.835457441966</v>
      </c>
      <c r="H54">
        <v>98.506918685178107</v>
      </c>
      <c r="I54" t="s">
        <v>266</v>
      </c>
      <c r="K54">
        <f t="shared" si="0"/>
        <v>1.3812194073999944</v>
      </c>
      <c r="M54" s="1" t="s">
        <v>264</v>
      </c>
      <c r="N54">
        <v>135.332838773492</v>
      </c>
      <c r="O54">
        <v>91.346784464028005</v>
      </c>
      <c r="P54" t="s">
        <v>267</v>
      </c>
      <c r="R54" s="1" t="s">
        <v>264</v>
      </c>
      <c r="S54">
        <v>147.19299993358601</v>
      </c>
      <c r="T54">
        <v>139.27268214135501</v>
      </c>
      <c r="U54" t="s">
        <v>268</v>
      </c>
      <c r="W54">
        <f t="shared" si="1"/>
        <v>-8.0575578766961442</v>
      </c>
    </row>
    <row r="55" spans="1:23" x14ac:dyDescent="0.25">
      <c r="A55" s="1" t="s">
        <v>269</v>
      </c>
      <c r="B55">
        <v>2.1594684385382101E-2</v>
      </c>
      <c r="C55">
        <v>0.260293157085636</v>
      </c>
      <c r="D55" t="s">
        <v>270</v>
      </c>
      <c r="F55" s="1" t="s">
        <v>269</v>
      </c>
      <c r="G55">
        <v>0.15589440145653199</v>
      </c>
      <c r="H55">
        <v>1.41616085661881</v>
      </c>
      <c r="I55" t="s">
        <v>271</v>
      </c>
      <c r="K55">
        <f t="shared" si="0"/>
        <v>-86.147876906661509</v>
      </c>
      <c r="M55" s="1" t="s">
        <v>269</v>
      </c>
      <c r="N55">
        <v>3.7091988130563802E-2</v>
      </c>
      <c r="O55">
        <v>0.50832656192913594</v>
      </c>
      <c r="P55" t="s">
        <v>272</v>
      </c>
      <c r="R55" s="1" t="s">
        <v>269</v>
      </c>
      <c r="S55">
        <v>0.247791724779172</v>
      </c>
      <c r="T55">
        <v>2.3381238487222902</v>
      </c>
      <c r="U55" t="s">
        <v>273</v>
      </c>
      <c r="W55">
        <f t="shared" si="1"/>
        <v>-85.030981900779949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0464-9332-476D-94D9-5A9C107357A2}">
  <dimension ref="A1:W55"/>
  <sheetViews>
    <sheetView workbookViewId="0">
      <selection sqref="A1:XFD1048576"/>
    </sheetView>
  </sheetViews>
  <sheetFormatPr defaultColWidth="9" defaultRowHeight="13.8" x14ac:dyDescent="0.25"/>
  <cols>
    <col min="11" max="11" width="15" customWidth="1"/>
  </cols>
  <sheetData>
    <row r="1" spans="1:23" x14ac:dyDescent="0.25">
      <c r="A1" t="s">
        <v>0</v>
      </c>
      <c r="F1" t="s">
        <v>1</v>
      </c>
      <c r="M1" t="s">
        <v>2</v>
      </c>
      <c r="R1" t="s">
        <v>3</v>
      </c>
    </row>
    <row r="2" spans="1:23" x14ac:dyDescent="0.25">
      <c r="B2" s="3" t="s">
        <v>4</v>
      </c>
      <c r="C2" s="3" t="s">
        <v>5</v>
      </c>
      <c r="D2" s="3" t="s">
        <v>6</v>
      </c>
      <c r="G2" s="3" t="s">
        <v>4</v>
      </c>
      <c r="H2" s="3" t="s">
        <v>5</v>
      </c>
      <c r="I2" s="3" t="s">
        <v>6</v>
      </c>
      <c r="K2" s="2" t="s">
        <v>7</v>
      </c>
      <c r="N2" s="3" t="s">
        <v>4</v>
      </c>
      <c r="O2" s="3" t="s">
        <v>5</v>
      </c>
      <c r="P2" s="3" t="s">
        <v>6</v>
      </c>
      <c r="S2" s="3" t="s">
        <v>4</v>
      </c>
      <c r="T2" s="3" t="s">
        <v>5</v>
      </c>
      <c r="U2" s="3" t="s">
        <v>6</v>
      </c>
      <c r="W2" s="2" t="s">
        <v>8</v>
      </c>
    </row>
    <row r="3" spans="1:23" x14ac:dyDescent="0.25">
      <c r="A3" s="3" t="s">
        <v>9</v>
      </c>
      <c r="B3">
        <v>16.12785094763893</v>
      </c>
      <c r="C3">
        <v>7.1400887993494697</v>
      </c>
      <c r="D3" t="s">
        <v>274</v>
      </c>
      <c r="F3" s="3" t="s">
        <v>9</v>
      </c>
      <c r="G3">
        <v>2.9935753292643752</v>
      </c>
      <c r="H3">
        <v>3.1521633030259801</v>
      </c>
      <c r="I3" t="s">
        <v>275</v>
      </c>
      <c r="K3">
        <f>(B3-G3)/G3*100</f>
        <v>438.7487927889257</v>
      </c>
      <c r="M3" s="3" t="s">
        <v>9</v>
      </c>
      <c r="N3">
        <v>15.542973825877111</v>
      </c>
      <c r="O3">
        <v>7.1472601347621421</v>
      </c>
      <c r="P3" t="s">
        <v>276</v>
      </c>
      <c r="R3" s="3" t="s">
        <v>9</v>
      </c>
      <c r="S3">
        <v>3.5474289957304621</v>
      </c>
      <c r="T3">
        <v>3.8169358926420238</v>
      </c>
      <c r="U3" t="s">
        <v>277</v>
      </c>
      <c r="W3">
        <f>(N3-S3)/S3*100</f>
        <v>338.14756671899534</v>
      </c>
    </row>
    <row r="4" spans="1:23" x14ac:dyDescent="0.25">
      <c r="A4" s="3" t="s">
        <v>14</v>
      </c>
      <c r="B4">
        <v>3.4293821608309241</v>
      </c>
      <c r="C4">
        <v>2.4450740215760498</v>
      </c>
      <c r="D4" t="s">
        <v>278</v>
      </c>
      <c r="F4" s="3" t="s">
        <v>14</v>
      </c>
      <c r="G4">
        <v>0.56869043794838847</v>
      </c>
      <c r="H4">
        <v>1.0198650734536201</v>
      </c>
      <c r="I4" t="s">
        <v>279</v>
      </c>
      <c r="K4">
        <f t="shared" ref="K4:K55" si="0">(B4-G4)/G4*100</f>
        <v>503.03144417247222</v>
      </c>
      <c r="M4" s="3" t="s">
        <v>14</v>
      </c>
      <c r="N4">
        <v>3.1160200482643399</v>
      </c>
      <c r="O4">
        <v>2.5108929959631689</v>
      </c>
      <c r="P4" t="s">
        <v>280</v>
      </c>
      <c r="R4" s="3" t="s">
        <v>14</v>
      </c>
      <c r="S4">
        <v>0.68702431780211626</v>
      </c>
      <c r="T4">
        <v>1.216326840942932</v>
      </c>
      <c r="U4" t="s">
        <v>281</v>
      </c>
      <c r="W4">
        <f t="shared" ref="W4:W55" si="1">(N4-S4)/S4*100</f>
        <v>353.55309375844359</v>
      </c>
    </row>
    <row r="5" spans="1:23" x14ac:dyDescent="0.25">
      <c r="A5" s="3" t="s">
        <v>19</v>
      </c>
      <c r="B5">
        <v>3.4979119820109221</v>
      </c>
      <c r="C5">
        <v>2.5058660945197051</v>
      </c>
      <c r="D5" t="s">
        <v>282</v>
      </c>
      <c r="F5" s="3" t="s">
        <v>19</v>
      </c>
      <c r="G5">
        <v>0.51772138344576513</v>
      </c>
      <c r="H5">
        <v>0.9813978250697255</v>
      </c>
      <c r="I5" t="s">
        <v>283</v>
      </c>
      <c r="K5">
        <f t="shared" si="0"/>
        <v>575.63598759048591</v>
      </c>
      <c r="M5" s="3" t="s">
        <v>19</v>
      </c>
      <c r="N5">
        <v>3.3634676072025251</v>
      </c>
      <c r="O5">
        <v>2.6637368398418149</v>
      </c>
      <c r="P5" t="s">
        <v>284</v>
      </c>
      <c r="R5" s="3" t="s">
        <v>19</v>
      </c>
      <c r="S5">
        <v>0.62650826062743648</v>
      </c>
      <c r="T5">
        <v>1.1157095341735781</v>
      </c>
      <c r="U5" t="s">
        <v>285</v>
      </c>
      <c r="W5">
        <f t="shared" si="1"/>
        <v>436.85925925925932</v>
      </c>
    </row>
    <row r="6" spans="1:23" x14ac:dyDescent="0.25">
      <c r="A6" s="3" t="s">
        <v>24</v>
      </c>
      <c r="B6">
        <v>4.178284612913588</v>
      </c>
      <c r="C6">
        <v>3.9980740185408941</v>
      </c>
      <c r="D6" t="s">
        <v>286</v>
      </c>
      <c r="F6" s="3" t="s">
        <v>24</v>
      </c>
      <c r="G6">
        <v>3.4564728557661422</v>
      </c>
      <c r="H6">
        <v>3.7763432704169868</v>
      </c>
      <c r="I6" t="s">
        <v>287</v>
      </c>
      <c r="K6">
        <f t="shared" si="0"/>
        <v>20.882899628252776</v>
      </c>
      <c r="M6" s="3" t="s">
        <v>24</v>
      </c>
      <c r="N6">
        <v>4.1589010581028401</v>
      </c>
      <c r="O6">
        <v>4.8620399000090844</v>
      </c>
      <c r="P6" t="s">
        <v>288</v>
      </c>
      <c r="R6" s="3" t="s">
        <v>24</v>
      </c>
      <c r="S6">
        <v>3.2370521626137001</v>
      </c>
      <c r="T6">
        <v>4.6342715879039131</v>
      </c>
      <c r="U6" t="s">
        <v>289</v>
      </c>
      <c r="W6">
        <f t="shared" si="1"/>
        <v>28.478036472072464</v>
      </c>
    </row>
    <row r="7" spans="1:23" x14ac:dyDescent="0.25">
      <c r="A7" s="3" t="s">
        <v>29</v>
      </c>
      <c r="B7">
        <v>9.0854481207838091</v>
      </c>
      <c r="C7">
        <v>4.5970393360822017</v>
      </c>
      <c r="D7" t="s">
        <v>290</v>
      </c>
      <c r="F7" s="3" t="s">
        <v>29</v>
      </c>
      <c r="G7">
        <v>1.834993039940036</v>
      </c>
      <c r="H7">
        <v>2.0875238599279871</v>
      </c>
      <c r="I7" t="s">
        <v>291</v>
      </c>
      <c r="K7">
        <f t="shared" si="0"/>
        <v>395.12166656941127</v>
      </c>
      <c r="M7" s="3" t="s">
        <v>29</v>
      </c>
      <c r="N7">
        <v>8.9166511973268978</v>
      </c>
      <c r="O7">
        <v>4.5351614786581296</v>
      </c>
      <c r="P7" t="s">
        <v>292</v>
      </c>
      <c r="R7" s="3" t="s">
        <v>29</v>
      </c>
      <c r="S7">
        <v>2.127157972897717</v>
      </c>
      <c r="T7">
        <v>2.5368394798857921</v>
      </c>
      <c r="U7" t="s">
        <v>293</v>
      </c>
      <c r="W7">
        <f t="shared" si="1"/>
        <v>319.18142944410499</v>
      </c>
    </row>
    <row r="8" spans="1:23" x14ac:dyDescent="0.25">
      <c r="A8" s="3" t="s">
        <v>34</v>
      </c>
      <c r="B8">
        <v>0.58635828247135668</v>
      </c>
      <c r="C8">
        <v>0.95783352834494317</v>
      </c>
      <c r="D8" t="s">
        <v>294</v>
      </c>
      <c r="F8" s="3" t="s">
        <v>34</v>
      </c>
      <c r="G8">
        <v>0.1752864332369633</v>
      </c>
      <c r="H8">
        <v>0.48184607305947952</v>
      </c>
      <c r="I8" t="s">
        <v>295</v>
      </c>
      <c r="K8">
        <f t="shared" si="0"/>
        <v>234.51435552840559</v>
      </c>
      <c r="M8" s="3" t="s">
        <v>34</v>
      </c>
      <c r="N8">
        <v>0.49730833488026732</v>
      </c>
      <c r="O8">
        <v>0.9228210927312549</v>
      </c>
      <c r="P8" t="s">
        <v>296</v>
      </c>
      <c r="R8" s="3" t="s">
        <v>34</v>
      </c>
      <c r="S8">
        <v>0.17356599220345281</v>
      </c>
      <c r="T8">
        <v>0.4693968677723801</v>
      </c>
      <c r="U8" t="s">
        <v>297</v>
      </c>
      <c r="W8">
        <f t="shared" si="1"/>
        <v>186.52406417112292</v>
      </c>
    </row>
    <row r="9" spans="1:23" x14ac:dyDescent="0.25">
      <c r="A9" s="3" t="s">
        <v>39</v>
      </c>
      <c r="B9">
        <v>2.767319841524789</v>
      </c>
      <c r="C9">
        <v>2.0855905502800831</v>
      </c>
      <c r="D9" t="s">
        <v>298</v>
      </c>
      <c r="F9" s="3" t="s">
        <v>39</v>
      </c>
      <c r="G9">
        <v>0.455187921619017</v>
      </c>
      <c r="H9">
        <v>0.7822454338251954</v>
      </c>
      <c r="I9" t="s">
        <v>299</v>
      </c>
      <c r="K9">
        <f t="shared" si="0"/>
        <v>507.95107033639158</v>
      </c>
      <c r="M9" s="3" t="s">
        <v>39</v>
      </c>
      <c r="N9">
        <v>2.6742157044737329</v>
      </c>
      <c r="O9">
        <v>2.0048793321619511</v>
      </c>
      <c r="P9" t="s">
        <v>300</v>
      </c>
      <c r="R9" s="3" t="s">
        <v>39</v>
      </c>
      <c r="S9">
        <v>0.5658065713755337</v>
      </c>
      <c r="T9">
        <v>1.001059740224991</v>
      </c>
      <c r="U9" t="s">
        <v>301</v>
      </c>
      <c r="W9">
        <f t="shared" si="1"/>
        <v>372.63779527559052</v>
      </c>
    </row>
    <row r="10" spans="1:23" x14ac:dyDescent="0.25">
      <c r="A10" s="3" t="s">
        <v>44</v>
      </c>
      <c r="B10">
        <v>1.1286004925580899</v>
      </c>
      <c r="C10">
        <v>1.4384848562161721</v>
      </c>
      <c r="D10" t="s">
        <v>302</v>
      </c>
      <c r="F10" s="3" t="s">
        <v>44</v>
      </c>
      <c r="G10">
        <v>0.35153656708427028</v>
      </c>
      <c r="H10">
        <v>0.69856701305966162</v>
      </c>
      <c r="I10" t="s">
        <v>303</v>
      </c>
      <c r="K10">
        <f t="shared" si="0"/>
        <v>221.04782211392023</v>
      </c>
      <c r="M10" s="3" t="s">
        <v>44</v>
      </c>
      <c r="N10">
        <v>1.433265268238352</v>
      </c>
      <c r="O10">
        <v>1.8078283612042361</v>
      </c>
      <c r="P10" t="s">
        <v>304</v>
      </c>
      <c r="R10" s="3" t="s">
        <v>44</v>
      </c>
      <c r="S10">
        <v>0.51085947651754227</v>
      </c>
      <c r="T10">
        <v>1.00075303253336</v>
      </c>
      <c r="U10" t="s">
        <v>305</v>
      </c>
      <c r="W10">
        <f t="shared" si="1"/>
        <v>180.55959302325587</v>
      </c>
    </row>
    <row r="11" spans="1:23" x14ac:dyDescent="0.25">
      <c r="A11" s="3" t="s">
        <v>49</v>
      </c>
      <c r="B11">
        <v>4.5847521147874506</v>
      </c>
      <c r="C11">
        <v>3.0703479769612581</v>
      </c>
      <c r="D11" t="s">
        <v>306</v>
      </c>
      <c r="F11" s="3" t="s">
        <v>49</v>
      </c>
      <c r="G11">
        <v>0.84355926758753619</v>
      </c>
      <c r="H11">
        <v>1.290293602575237</v>
      </c>
      <c r="I11" t="s">
        <v>307</v>
      </c>
      <c r="K11">
        <f t="shared" si="0"/>
        <v>443.50088855039348</v>
      </c>
      <c r="M11" s="3" t="s">
        <v>49</v>
      </c>
      <c r="N11">
        <v>4.2927417857805832</v>
      </c>
      <c r="O11">
        <v>2.9458331294482338</v>
      </c>
      <c r="P11" t="s">
        <v>308</v>
      </c>
      <c r="R11" s="3" t="s">
        <v>49</v>
      </c>
      <c r="S11">
        <v>0.86374605531835902</v>
      </c>
      <c r="T11">
        <v>1.321505797314702</v>
      </c>
      <c r="U11" t="s">
        <v>309</v>
      </c>
      <c r="W11">
        <f t="shared" si="1"/>
        <v>396.99118848055019</v>
      </c>
    </row>
    <row r="12" spans="1:23" x14ac:dyDescent="0.25">
      <c r="A12" s="3" t="s">
        <v>54</v>
      </c>
      <c r="B12">
        <v>15.714637541492669</v>
      </c>
      <c r="C12">
        <v>8.9163944064036311</v>
      </c>
      <c r="D12" t="s">
        <v>310</v>
      </c>
      <c r="F12" s="3" t="s">
        <v>54</v>
      </c>
      <c r="G12">
        <v>2.8424884891315991</v>
      </c>
      <c r="H12">
        <v>3.5377488926139629</v>
      </c>
      <c r="I12" t="s">
        <v>311</v>
      </c>
      <c r="K12">
        <f t="shared" si="0"/>
        <v>452.84788668725992</v>
      </c>
      <c r="M12" s="3" t="s">
        <v>54</v>
      </c>
      <c r="N12">
        <v>13.68498236495266</v>
      </c>
      <c r="O12">
        <v>8.9056032282360338</v>
      </c>
      <c r="P12" t="s">
        <v>312</v>
      </c>
      <c r="R12" s="3" t="s">
        <v>54</v>
      </c>
      <c r="S12">
        <v>2.9974011509188792</v>
      </c>
      <c r="T12">
        <v>3.732863148917565</v>
      </c>
      <c r="U12" t="s">
        <v>313</v>
      </c>
      <c r="W12">
        <f t="shared" si="1"/>
        <v>356.5615903883072</v>
      </c>
    </row>
    <row r="13" spans="1:23" x14ac:dyDescent="0.25">
      <c r="A13" s="3" t="s">
        <v>59</v>
      </c>
      <c r="B13">
        <v>0.82888960274119283</v>
      </c>
      <c r="C13">
        <v>2.2811717253371491</v>
      </c>
      <c r="D13" t="s">
        <v>314</v>
      </c>
      <c r="F13" s="3" t="s">
        <v>59</v>
      </c>
      <c r="G13">
        <v>0.25366741621158578</v>
      </c>
      <c r="H13">
        <v>1.0236056180156039</v>
      </c>
      <c r="I13" t="s">
        <v>315</v>
      </c>
      <c r="K13">
        <f t="shared" si="0"/>
        <v>226.76234698184891</v>
      </c>
      <c r="M13" s="3" t="s">
        <v>59</v>
      </c>
      <c r="N13">
        <v>0.8930759235195842</v>
      </c>
      <c r="O13">
        <v>2.5029656280114838</v>
      </c>
      <c r="P13" t="s">
        <v>316</v>
      </c>
      <c r="R13" s="3" t="s">
        <v>59</v>
      </c>
      <c r="S13">
        <v>0.30053833302394661</v>
      </c>
      <c r="T13">
        <v>0.99033844028025997</v>
      </c>
      <c r="U13" t="s">
        <v>317</v>
      </c>
      <c r="W13">
        <f t="shared" si="1"/>
        <v>197.15873996294002</v>
      </c>
    </row>
    <row r="14" spans="1:23" x14ac:dyDescent="0.25">
      <c r="A14" s="3" t="s">
        <v>64</v>
      </c>
      <c r="B14">
        <v>0.1828889602741193</v>
      </c>
      <c r="C14">
        <v>0.59641479510745499</v>
      </c>
      <c r="D14" t="s">
        <v>318</v>
      </c>
      <c r="F14" s="3" t="s">
        <v>64</v>
      </c>
      <c r="G14">
        <v>6.7459042724060392E-2</v>
      </c>
      <c r="H14">
        <v>0.31515936180451759</v>
      </c>
      <c r="I14" t="s">
        <v>319</v>
      </c>
      <c r="K14">
        <f t="shared" si="0"/>
        <v>171.11111111111111</v>
      </c>
      <c r="M14" s="3" t="s">
        <v>64</v>
      </c>
      <c r="N14">
        <v>0.18897345461295709</v>
      </c>
      <c r="O14">
        <v>0.60133917625774325</v>
      </c>
      <c r="P14" t="s">
        <v>320</v>
      </c>
      <c r="R14" s="3" t="s">
        <v>64</v>
      </c>
      <c r="S14">
        <v>6.0330425097456841E-2</v>
      </c>
      <c r="T14">
        <v>0.30143628573274772</v>
      </c>
      <c r="U14" t="s">
        <v>321</v>
      </c>
      <c r="W14">
        <f t="shared" si="1"/>
        <v>213.23076923076917</v>
      </c>
    </row>
    <row r="15" spans="1:23" x14ac:dyDescent="0.25">
      <c r="A15" s="3" t="s">
        <v>69</v>
      </c>
      <c r="B15">
        <v>3.9315772566655962</v>
      </c>
      <c r="C15">
        <v>3.1875628050290121</v>
      </c>
      <c r="D15" t="s">
        <v>322</v>
      </c>
      <c r="F15" s="3" t="s">
        <v>69</v>
      </c>
      <c r="G15">
        <v>0.79066281186422527</v>
      </c>
      <c r="H15">
        <v>1.4031046640754361</v>
      </c>
      <c r="I15" t="s">
        <v>323</v>
      </c>
      <c r="K15">
        <f t="shared" si="0"/>
        <v>397.25081256771404</v>
      </c>
      <c r="M15" s="3" t="s">
        <v>69</v>
      </c>
      <c r="N15">
        <v>3.4080193057360311</v>
      </c>
      <c r="O15">
        <v>3.318336614105621</v>
      </c>
      <c r="P15" t="s">
        <v>324</v>
      </c>
      <c r="R15" s="3" t="s">
        <v>69</v>
      </c>
      <c r="S15">
        <v>0.8195656209392983</v>
      </c>
      <c r="T15">
        <v>1.50606015473095</v>
      </c>
      <c r="U15" t="s">
        <v>325</v>
      </c>
      <c r="W15">
        <f t="shared" si="1"/>
        <v>315.83238958097388</v>
      </c>
    </row>
    <row r="16" spans="1:23" x14ac:dyDescent="0.25">
      <c r="A16" s="3" t="s">
        <v>74</v>
      </c>
      <c r="B16">
        <v>12.66763036727701</v>
      </c>
      <c r="C16">
        <v>7.103089417565954</v>
      </c>
      <c r="D16" t="s">
        <v>326</v>
      </c>
      <c r="F16" s="3" t="s">
        <v>74</v>
      </c>
      <c r="G16">
        <v>2.0325516650604989</v>
      </c>
      <c r="H16">
        <v>2.3108251008213849</v>
      </c>
      <c r="I16" t="s">
        <v>327</v>
      </c>
      <c r="K16">
        <f t="shared" si="0"/>
        <v>523.23780423559163</v>
      </c>
      <c r="M16" s="3" t="s">
        <v>74</v>
      </c>
      <c r="N16">
        <v>11.64507146834973</v>
      </c>
      <c r="O16">
        <v>6.9652388272895358</v>
      </c>
      <c r="P16" t="s">
        <v>328</v>
      </c>
      <c r="R16" s="3" t="s">
        <v>74</v>
      </c>
      <c r="S16">
        <v>2.137739001299424</v>
      </c>
      <c r="T16">
        <v>2.8883737415017938</v>
      </c>
      <c r="U16" t="s">
        <v>329</v>
      </c>
      <c r="W16">
        <f t="shared" si="1"/>
        <v>444.73775616533527</v>
      </c>
    </row>
    <row r="17" spans="1:23" x14ac:dyDescent="0.25">
      <c r="A17" s="3" t="s">
        <v>79</v>
      </c>
      <c r="B17">
        <v>5.134489774065746</v>
      </c>
      <c r="C17">
        <v>4.2360865553389679</v>
      </c>
      <c r="D17" t="s">
        <v>330</v>
      </c>
      <c r="F17" s="3" t="s">
        <v>79</v>
      </c>
      <c r="G17">
        <v>0.76378627262019483</v>
      </c>
      <c r="H17">
        <v>1.234842237715176</v>
      </c>
      <c r="I17" t="s">
        <v>331</v>
      </c>
      <c r="K17">
        <f t="shared" si="0"/>
        <v>572.24169353708123</v>
      </c>
      <c r="M17" s="3" t="s">
        <v>79</v>
      </c>
      <c r="N17">
        <v>5.9498793391498053</v>
      </c>
      <c r="O17">
        <v>4.8416911463478138</v>
      </c>
      <c r="P17" t="s">
        <v>332</v>
      </c>
      <c r="R17" s="3" t="s">
        <v>79</v>
      </c>
      <c r="S17">
        <v>0.97865231111936146</v>
      </c>
      <c r="T17">
        <v>1.6394541976085231</v>
      </c>
      <c r="U17" t="s">
        <v>333</v>
      </c>
      <c r="W17">
        <f t="shared" si="1"/>
        <v>507.9666160849772</v>
      </c>
    </row>
    <row r="18" spans="1:23" x14ac:dyDescent="0.25">
      <c r="A18" s="3" t="s">
        <v>84</v>
      </c>
      <c r="B18">
        <v>4.3606381839597388</v>
      </c>
      <c r="C18">
        <v>3.704023077160663</v>
      </c>
      <c r="D18" t="s">
        <v>334</v>
      </c>
      <c r="F18" s="3" t="s">
        <v>84</v>
      </c>
      <c r="G18">
        <v>0.85780062105150445</v>
      </c>
      <c r="H18">
        <v>1.326499734164031</v>
      </c>
      <c r="I18" t="s">
        <v>335</v>
      </c>
      <c r="K18">
        <f t="shared" si="0"/>
        <v>408.35101735114216</v>
      </c>
      <c r="M18" s="3" t="s">
        <v>84</v>
      </c>
      <c r="N18">
        <v>3.1100798217932062</v>
      </c>
      <c r="O18">
        <v>3.1642651332041392</v>
      </c>
      <c r="P18" t="s">
        <v>336</v>
      </c>
      <c r="R18" s="3" t="s">
        <v>84</v>
      </c>
      <c r="S18">
        <v>0.73881566734731763</v>
      </c>
      <c r="T18">
        <v>1.4420038073151851</v>
      </c>
      <c r="U18" t="s">
        <v>337</v>
      </c>
      <c r="W18">
        <f t="shared" si="1"/>
        <v>320.95477386934681</v>
      </c>
    </row>
    <row r="19" spans="1:23" x14ac:dyDescent="0.25">
      <c r="A19" s="3" t="s">
        <v>89</v>
      </c>
      <c r="B19">
        <v>1.1900631759289</v>
      </c>
      <c r="C19">
        <v>1.299358041354375</v>
      </c>
      <c r="D19" t="s">
        <v>338</v>
      </c>
      <c r="F19" s="3" t="s">
        <v>89</v>
      </c>
      <c r="G19">
        <v>0.14616125923546419</v>
      </c>
      <c r="H19">
        <v>0.44648143474556218</v>
      </c>
      <c r="I19" t="s">
        <v>339</v>
      </c>
      <c r="K19">
        <f t="shared" si="0"/>
        <v>714.21245421245385</v>
      </c>
      <c r="M19" s="3" t="s">
        <v>89</v>
      </c>
      <c r="N19">
        <v>0.86133283831446072</v>
      </c>
      <c r="O19">
        <v>1.1476105425351011</v>
      </c>
      <c r="P19" t="s">
        <v>340</v>
      </c>
      <c r="R19" s="3" t="s">
        <v>89</v>
      </c>
      <c r="S19">
        <v>0.119732689808799</v>
      </c>
      <c r="T19">
        <v>0.44816173921846297</v>
      </c>
      <c r="U19" t="s">
        <v>341</v>
      </c>
      <c r="W19">
        <f t="shared" si="1"/>
        <v>619.37984496124</v>
      </c>
    </row>
    <row r="20" spans="1:23" x14ac:dyDescent="0.25">
      <c r="A20" s="3" t="s">
        <v>94</v>
      </c>
      <c r="B20">
        <v>1.264696434307742</v>
      </c>
      <c r="C20">
        <v>2.0098192883686909</v>
      </c>
      <c r="D20" t="s">
        <v>342</v>
      </c>
      <c r="F20" s="3" t="s">
        <v>94</v>
      </c>
      <c r="G20">
        <v>0.29842595566977193</v>
      </c>
      <c r="H20">
        <v>0.75375030517239427</v>
      </c>
      <c r="I20" t="s">
        <v>343</v>
      </c>
      <c r="K20">
        <f t="shared" si="0"/>
        <v>323.78902045209912</v>
      </c>
      <c r="M20" s="3" t="s">
        <v>94</v>
      </c>
      <c r="N20">
        <v>0.7571932429923891</v>
      </c>
      <c r="O20">
        <v>1.4196128169023721</v>
      </c>
      <c r="P20" t="s">
        <v>344</v>
      </c>
      <c r="R20" s="3" t="s">
        <v>94</v>
      </c>
      <c r="S20">
        <v>0.21923148320029701</v>
      </c>
      <c r="T20">
        <v>0.6913189923548877</v>
      </c>
      <c r="U20" t="s">
        <v>345</v>
      </c>
      <c r="W20">
        <f t="shared" si="1"/>
        <v>245.38526672311599</v>
      </c>
    </row>
    <row r="21" spans="1:23" x14ac:dyDescent="0.25">
      <c r="A21" s="3" t="s">
        <v>99</v>
      </c>
      <c r="B21">
        <v>1.232466002784024</v>
      </c>
      <c r="C21">
        <v>1.581860533916865</v>
      </c>
      <c r="D21" t="s">
        <v>346</v>
      </c>
      <c r="F21" s="3" t="s">
        <v>99</v>
      </c>
      <c r="G21">
        <v>0.13855873219830819</v>
      </c>
      <c r="H21">
        <v>0.42976443867490921</v>
      </c>
      <c r="I21" t="s">
        <v>347</v>
      </c>
      <c r="K21">
        <f t="shared" si="0"/>
        <v>789.48995363214817</v>
      </c>
      <c r="M21" s="3" t="s">
        <v>99</v>
      </c>
      <c r="N21">
        <v>0.88527937627622055</v>
      </c>
      <c r="O21">
        <v>1.3869787707048531</v>
      </c>
      <c r="P21" t="s">
        <v>348</v>
      </c>
      <c r="R21" s="3" t="s">
        <v>99</v>
      </c>
      <c r="S21">
        <v>0.1336550956005198</v>
      </c>
      <c r="T21">
        <v>0.44733155498255328</v>
      </c>
      <c r="U21" t="s">
        <v>349</v>
      </c>
      <c r="W21">
        <f t="shared" si="1"/>
        <v>562.36111111111097</v>
      </c>
    </row>
    <row r="22" spans="1:23" x14ac:dyDescent="0.25">
      <c r="A22" s="3" t="s">
        <v>104</v>
      </c>
      <c r="B22">
        <v>43.58721490523611</v>
      </c>
      <c r="C22">
        <v>18.45185486911576</v>
      </c>
      <c r="D22" t="s">
        <v>350</v>
      </c>
      <c r="F22" s="3" t="s">
        <v>104</v>
      </c>
      <c r="G22">
        <v>6.3329050219509586</v>
      </c>
      <c r="H22">
        <v>6.125988569077137</v>
      </c>
      <c r="I22" t="s">
        <v>351</v>
      </c>
      <c r="K22">
        <f t="shared" si="0"/>
        <v>588.26572882674202</v>
      </c>
      <c r="M22" s="3" t="s">
        <v>104</v>
      </c>
      <c r="N22">
        <v>39.284202710228328</v>
      </c>
      <c r="O22">
        <v>17.971941894019281</v>
      </c>
      <c r="P22" t="s">
        <v>352</v>
      </c>
      <c r="R22" s="3" t="s">
        <v>104</v>
      </c>
      <c r="S22">
        <v>7.2157044737330613</v>
      </c>
      <c r="T22">
        <v>8.3950163743745012</v>
      </c>
      <c r="U22" t="s">
        <v>353</v>
      </c>
      <c r="W22">
        <f t="shared" si="1"/>
        <v>444.4264361606339</v>
      </c>
    </row>
    <row r="23" spans="1:23" x14ac:dyDescent="0.25">
      <c r="A23" s="3" t="s">
        <v>109</v>
      </c>
      <c r="B23">
        <v>10.83317271656494</v>
      </c>
      <c r="C23">
        <v>5.8045565506847501</v>
      </c>
      <c r="D23" t="s">
        <v>354</v>
      </c>
      <c r="F23" s="3" t="s">
        <v>109</v>
      </c>
      <c r="G23">
        <v>1.6286540314808871</v>
      </c>
      <c r="H23">
        <v>1.916275283963585</v>
      </c>
      <c r="I23" t="s">
        <v>355</v>
      </c>
      <c r="K23">
        <f t="shared" si="0"/>
        <v>565.16107823800098</v>
      </c>
      <c r="M23" s="3" t="s">
        <v>109</v>
      </c>
      <c r="N23">
        <v>9.521254872842027</v>
      </c>
      <c r="O23">
        <v>5.1984801028830034</v>
      </c>
      <c r="P23" t="s">
        <v>356</v>
      </c>
      <c r="R23" s="3" t="s">
        <v>109</v>
      </c>
      <c r="S23">
        <v>1.771486912938556</v>
      </c>
      <c r="T23">
        <v>2.2700074016962022</v>
      </c>
      <c r="U23" t="s">
        <v>357</v>
      </c>
      <c r="W23">
        <f t="shared" si="1"/>
        <v>437.47249292675247</v>
      </c>
    </row>
    <row r="24" spans="1:23" x14ac:dyDescent="0.25">
      <c r="A24" s="3" t="s">
        <v>114</v>
      </c>
      <c r="B24">
        <v>6.082128707570404</v>
      </c>
      <c r="C24">
        <v>3.7726400497654971</v>
      </c>
      <c r="D24" t="s">
        <v>358</v>
      </c>
      <c r="F24" s="3" t="s">
        <v>114</v>
      </c>
      <c r="G24">
        <v>0.74129992504550812</v>
      </c>
      <c r="H24">
        <v>1.108534070417452</v>
      </c>
      <c r="I24" t="s">
        <v>359</v>
      </c>
      <c r="K24">
        <f t="shared" si="0"/>
        <v>720.46800520005775</v>
      </c>
      <c r="M24" s="3" t="s">
        <v>114</v>
      </c>
      <c r="N24">
        <v>4.9571189901614998</v>
      </c>
      <c r="O24">
        <v>3.5097629071033549</v>
      </c>
      <c r="P24" t="s">
        <v>360</v>
      </c>
      <c r="R24" s="3" t="s">
        <v>114</v>
      </c>
      <c r="S24">
        <v>0.75255244106181551</v>
      </c>
      <c r="T24">
        <v>1.27438359490447</v>
      </c>
      <c r="U24" t="s">
        <v>361</v>
      </c>
      <c r="W24">
        <f t="shared" si="1"/>
        <v>558.70744943265902</v>
      </c>
    </row>
    <row r="25" spans="1:23" x14ac:dyDescent="0.25">
      <c r="A25" s="3" t="s">
        <v>119</v>
      </c>
      <c r="B25">
        <v>4.5743655637648573</v>
      </c>
      <c r="C25">
        <v>3.5393196197488979</v>
      </c>
      <c r="D25" t="s">
        <v>362</v>
      </c>
      <c r="F25" s="3" t="s">
        <v>119</v>
      </c>
      <c r="G25">
        <v>0.6419316843345112</v>
      </c>
      <c r="H25">
        <v>1.147068280728164</v>
      </c>
      <c r="I25" t="s">
        <v>363</v>
      </c>
      <c r="K25">
        <f t="shared" si="0"/>
        <v>612.59382819015843</v>
      </c>
      <c r="M25" s="3" t="s">
        <v>119</v>
      </c>
      <c r="N25">
        <v>4.3991089660293294</v>
      </c>
      <c r="O25">
        <v>3.7281338164363178</v>
      </c>
      <c r="P25" t="s">
        <v>364</v>
      </c>
      <c r="R25" s="3" t="s">
        <v>119</v>
      </c>
      <c r="S25">
        <v>0.79803229998143677</v>
      </c>
      <c r="T25">
        <v>1.5136621992108019</v>
      </c>
      <c r="U25" t="s">
        <v>365</v>
      </c>
      <c r="W25">
        <f t="shared" si="1"/>
        <v>451.24447545940916</v>
      </c>
    </row>
    <row r="26" spans="1:23" x14ac:dyDescent="0.25">
      <c r="A26" s="3" t="s">
        <v>124</v>
      </c>
      <c r="B26">
        <v>4.9716243709176569</v>
      </c>
      <c r="C26">
        <v>3.6114196281213991</v>
      </c>
      <c r="D26" t="s">
        <v>366</v>
      </c>
      <c r="F26" s="3" t="s">
        <v>124</v>
      </c>
      <c r="G26">
        <v>0.69707677481529073</v>
      </c>
      <c r="H26">
        <v>1.1743506290143511</v>
      </c>
      <c r="I26" t="s">
        <v>367</v>
      </c>
      <c r="K26">
        <f t="shared" si="0"/>
        <v>613.21044546850987</v>
      </c>
      <c r="M26" s="3" t="s">
        <v>124</v>
      </c>
      <c r="N26">
        <v>4.0690551327269349</v>
      </c>
      <c r="O26">
        <v>3.545427212629916</v>
      </c>
      <c r="P26" t="s">
        <v>368</v>
      </c>
      <c r="R26" s="3" t="s">
        <v>124</v>
      </c>
      <c r="S26">
        <v>0.76758863931687393</v>
      </c>
      <c r="T26">
        <v>1.4193912608961949</v>
      </c>
      <c r="U26" t="s">
        <v>369</v>
      </c>
      <c r="W26">
        <f t="shared" si="1"/>
        <v>430.1088270858524</v>
      </c>
    </row>
    <row r="27" spans="1:23" x14ac:dyDescent="0.25">
      <c r="A27" s="3" t="s">
        <v>129</v>
      </c>
      <c r="B27">
        <v>3.7061783916907589</v>
      </c>
      <c r="C27">
        <v>2.6590295919430482</v>
      </c>
      <c r="D27" t="s">
        <v>370</v>
      </c>
      <c r="F27" s="3" t="s">
        <v>129</v>
      </c>
      <c r="G27">
        <v>0.52628761109326483</v>
      </c>
      <c r="H27">
        <v>0.89693180106343606</v>
      </c>
      <c r="I27" t="s">
        <v>371</v>
      </c>
      <c r="K27">
        <f t="shared" si="0"/>
        <v>604.21159715157671</v>
      </c>
      <c r="M27" s="3" t="s">
        <v>129</v>
      </c>
      <c r="N27">
        <v>3.2983107480972711</v>
      </c>
      <c r="O27">
        <v>2.5363167837031728</v>
      </c>
      <c r="P27" t="s">
        <v>372</v>
      </c>
      <c r="R27" s="3" t="s">
        <v>129</v>
      </c>
      <c r="S27">
        <v>0.56302209021718952</v>
      </c>
      <c r="T27">
        <v>1.076308174785181</v>
      </c>
      <c r="U27" t="s">
        <v>373</v>
      </c>
      <c r="W27">
        <f t="shared" si="1"/>
        <v>485.82261787009566</v>
      </c>
    </row>
    <row r="28" spans="1:23" x14ac:dyDescent="0.25">
      <c r="A28" s="3" t="s">
        <v>134</v>
      </c>
      <c r="B28">
        <v>10.678338151836391</v>
      </c>
      <c r="C28">
        <v>6.7412614306673166</v>
      </c>
      <c r="D28" t="s">
        <v>374</v>
      </c>
      <c r="F28" s="3" t="s">
        <v>134</v>
      </c>
      <c r="G28">
        <v>1.4999464610772031</v>
      </c>
      <c r="H28">
        <v>1.893466745824838</v>
      </c>
      <c r="I28" t="s">
        <v>375</v>
      </c>
      <c r="K28">
        <f t="shared" si="0"/>
        <v>611.91462021701921</v>
      </c>
      <c r="M28" s="3" t="s">
        <v>134</v>
      </c>
      <c r="N28">
        <v>10.114906255800999</v>
      </c>
      <c r="O28">
        <v>6.1370937733470718</v>
      </c>
      <c r="P28" t="s">
        <v>376</v>
      </c>
      <c r="R28" s="3" t="s">
        <v>134</v>
      </c>
      <c r="S28">
        <v>1.777241507332467</v>
      </c>
      <c r="T28">
        <v>2.4643273644602162</v>
      </c>
      <c r="U28" t="s">
        <v>377</v>
      </c>
      <c r="W28">
        <f t="shared" si="1"/>
        <v>469.13515771882163</v>
      </c>
    </row>
    <row r="29" spans="1:23" x14ac:dyDescent="0.25">
      <c r="A29" s="3" t="s">
        <v>139</v>
      </c>
      <c r="B29">
        <v>2.5889281507656068</v>
      </c>
      <c r="C29">
        <v>2.1650887393796192</v>
      </c>
      <c r="D29" t="s">
        <v>378</v>
      </c>
      <c r="F29" s="3" t="s">
        <v>139</v>
      </c>
      <c r="G29">
        <v>0.5571260306242638</v>
      </c>
      <c r="H29">
        <v>1.0993813006571109</v>
      </c>
      <c r="I29" t="s">
        <v>379</v>
      </c>
      <c r="K29">
        <f t="shared" si="0"/>
        <v>364.69344608879499</v>
      </c>
      <c r="M29" s="3" t="s">
        <v>139</v>
      </c>
      <c r="N29">
        <v>2.3950250603304251</v>
      </c>
      <c r="O29">
        <v>2.257610254412282</v>
      </c>
      <c r="P29" t="s">
        <v>380</v>
      </c>
      <c r="R29" s="3" t="s">
        <v>139</v>
      </c>
      <c r="S29">
        <v>0.62038240207907924</v>
      </c>
      <c r="T29">
        <v>1.20792976653385</v>
      </c>
      <c r="U29" t="s">
        <v>381</v>
      </c>
      <c r="W29">
        <f t="shared" si="1"/>
        <v>286.05625374027534</v>
      </c>
    </row>
    <row r="30" spans="1:23" x14ac:dyDescent="0.25">
      <c r="A30" s="3" t="s">
        <v>144</v>
      </c>
      <c r="B30">
        <v>2.2056965413855871</v>
      </c>
      <c r="C30">
        <v>2.243857347538333</v>
      </c>
      <c r="D30" t="s">
        <v>382</v>
      </c>
      <c r="F30" s="3" t="s">
        <v>144</v>
      </c>
      <c r="G30">
        <v>0.42756183745583037</v>
      </c>
      <c r="H30">
        <v>0.96666131370855002</v>
      </c>
      <c r="I30" t="s">
        <v>383</v>
      </c>
      <c r="K30">
        <f t="shared" si="0"/>
        <v>415.87778612572004</v>
      </c>
      <c r="M30" s="3" t="s">
        <v>144</v>
      </c>
      <c r="N30">
        <v>2.107666604789308</v>
      </c>
      <c r="O30">
        <v>2.440588270186415</v>
      </c>
      <c r="P30" t="s">
        <v>384</v>
      </c>
      <c r="R30" s="3" t="s">
        <v>144</v>
      </c>
      <c r="S30">
        <v>0.54909968442546875</v>
      </c>
      <c r="T30">
        <v>1.334631347708775</v>
      </c>
      <c r="U30" t="s">
        <v>385</v>
      </c>
      <c r="W30">
        <f t="shared" si="1"/>
        <v>283.84043272481409</v>
      </c>
    </row>
    <row r="31" spans="1:23" x14ac:dyDescent="0.25">
      <c r="A31" s="3" t="s">
        <v>149</v>
      </c>
      <c r="B31">
        <v>2.9123032444587209</v>
      </c>
      <c r="C31">
        <v>2.7941279559433498</v>
      </c>
      <c r="D31" t="s">
        <v>386</v>
      </c>
      <c r="F31" s="3" t="s">
        <v>149</v>
      </c>
      <c r="G31">
        <v>0.67598243923332257</v>
      </c>
      <c r="H31">
        <v>1.091229608458518</v>
      </c>
      <c r="I31" t="s">
        <v>387</v>
      </c>
      <c r="K31">
        <f t="shared" si="0"/>
        <v>330.8252811658482</v>
      </c>
      <c r="M31" s="3" t="s">
        <v>149</v>
      </c>
      <c r="N31">
        <v>3.2396510116948209</v>
      </c>
      <c r="O31">
        <v>3.1967192888399909</v>
      </c>
      <c r="P31" t="s">
        <v>388</v>
      </c>
      <c r="R31" s="3" t="s">
        <v>149</v>
      </c>
      <c r="S31">
        <v>0.73788750696120287</v>
      </c>
      <c r="T31">
        <v>1.185527998695322</v>
      </c>
      <c r="U31" t="s">
        <v>389</v>
      </c>
      <c r="W31">
        <f t="shared" si="1"/>
        <v>339.04402515723274</v>
      </c>
    </row>
    <row r="32" spans="1:23" x14ac:dyDescent="0.25">
      <c r="A32" s="3" t="s">
        <v>154</v>
      </c>
      <c r="B32">
        <v>0.87761002248634756</v>
      </c>
      <c r="C32">
        <v>1.575307027623819</v>
      </c>
      <c r="D32" t="s">
        <v>390</v>
      </c>
      <c r="F32" s="3" t="s">
        <v>154</v>
      </c>
      <c r="G32">
        <v>0.31052575222186529</v>
      </c>
      <c r="H32">
        <v>0.72390531669165059</v>
      </c>
      <c r="I32" t="s">
        <v>391</v>
      </c>
      <c r="K32">
        <f t="shared" si="0"/>
        <v>182.62068965517241</v>
      </c>
      <c r="M32" s="3" t="s">
        <v>154</v>
      </c>
      <c r="N32">
        <v>0.96120289586040464</v>
      </c>
      <c r="O32">
        <v>1.5568739688879429</v>
      </c>
      <c r="P32" t="s">
        <v>392</v>
      </c>
      <c r="R32" s="3" t="s">
        <v>154</v>
      </c>
      <c r="S32">
        <v>0.28587339892333402</v>
      </c>
      <c r="T32">
        <v>0.70087672083260288</v>
      </c>
      <c r="U32" t="s">
        <v>393</v>
      </c>
      <c r="W32">
        <f t="shared" si="1"/>
        <v>236.23376623376618</v>
      </c>
    </row>
    <row r="33" spans="1:23" x14ac:dyDescent="0.25">
      <c r="A33" s="3" t="s">
        <v>159</v>
      </c>
      <c r="B33">
        <v>0.86700931577256668</v>
      </c>
      <c r="C33">
        <v>1.408021932533795</v>
      </c>
      <c r="D33" t="s">
        <v>394</v>
      </c>
      <c r="F33" s="3" t="s">
        <v>159</v>
      </c>
      <c r="G33">
        <v>0.20173466109861871</v>
      </c>
      <c r="H33">
        <v>0.55611747096946806</v>
      </c>
      <c r="I33" t="s">
        <v>395</v>
      </c>
      <c r="K33">
        <f t="shared" si="0"/>
        <v>329.77707006369428</v>
      </c>
      <c r="M33" s="3" t="s">
        <v>159</v>
      </c>
      <c r="N33">
        <v>0.78522368665305364</v>
      </c>
      <c r="O33">
        <v>1.4472083967436049</v>
      </c>
      <c r="P33" t="s">
        <v>396</v>
      </c>
      <c r="R33" s="3" t="s">
        <v>159</v>
      </c>
      <c r="S33">
        <v>0.22628550213476889</v>
      </c>
      <c r="T33">
        <v>0.6366626998720859</v>
      </c>
      <c r="U33" t="s">
        <v>397</v>
      </c>
      <c r="W33">
        <f t="shared" si="1"/>
        <v>247.00574241181297</v>
      </c>
    </row>
    <row r="34" spans="1:23" x14ac:dyDescent="0.25">
      <c r="A34" s="3" t="s">
        <v>164</v>
      </c>
      <c r="B34">
        <v>0.41856729842595569</v>
      </c>
      <c r="C34">
        <v>0.85465605391400268</v>
      </c>
      <c r="D34" t="s">
        <v>398</v>
      </c>
      <c r="F34" s="3" t="s">
        <v>164</v>
      </c>
      <c r="G34">
        <v>7.9772994967341262E-2</v>
      </c>
      <c r="H34">
        <v>0.32913255909975803</v>
      </c>
      <c r="I34" t="s">
        <v>399</v>
      </c>
      <c r="K34">
        <f t="shared" si="0"/>
        <v>424.69798657718121</v>
      </c>
      <c r="M34" s="3" t="s">
        <v>164</v>
      </c>
      <c r="N34">
        <v>0.57416001485056622</v>
      </c>
      <c r="O34">
        <v>1.1749270603386739</v>
      </c>
      <c r="P34" t="s">
        <v>400</v>
      </c>
      <c r="R34" s="3" t="s">
        <v>164</v>
      </c>
      <c r="S34">
        <v>0.1132355671059959</v>
      </c>
      <c r="T34">
        <v>0.41663477379087721</v>
      </c>
      <c r="U34" t="s">
        <v>401</v>
      </c>
      <c r="W34">
        <f t="shared" si="1"/>
        <v>407.04918032786895</v>
      </c>
    </row>
    <row r="35" spans="1:23" x14ac:dyDescent="0.25">
      <c r="A35" s="3" t="s">
        <v>169</v>
      </c>
      <c r="B35">
        <v>2.3991862083734881</v>
      </c>
      <c r="C35">
        <v>3.9833105701977249</v>
      </c>
      <c r="D35" t="s">
        <v>402</v>
      </c>
      <c r="F35" s="3" t="s">
        <v>169</v>
      </c>
      <c r="G35">
        <v>0.68433451118963484</v>
      </c>
      <c r="H35">
        <v>1.521580962310173</v>
      </c>
      <c r="I35" t="s">
        <v>403</v>
      </c>
      <c r="K35">
        <f t="shared" si="0"/>
        <v>250.58676263495551</v>
      </c>
      <c r="M35" s="3" t="s">
        <v>169</v>
      </c>
      <c r="N35">
        <v>2.9337293484314091</v>
      </c>
      <c r="O35">
        <v>5.1456928328747846</v>
      </c>
      <c r="P35" t="s">
        <v>404</v>
      </c>
      <c r="R35" s="3" t="s">
        <v>169</v>
      </c>
      <c r="S35">
        <v>0.93298682012251721</v>
      </c>
      <c r="T35">
        <v>2.0679511307883152</v>
      </c>
      <c r="U35" t="s">
        <v>405</v>
      </c>
      <c r="W35">
        <f t="shared" si="1"/>
        <v>214.44488658973339</v>
      </c>
    </row>
    <row r="36" spans="1:23" x14ac:dyDescent="0.25">
      <c r="A36" s="3" t="s">
        <v>174</v>
      </c>
      <c r="B36">
        <v>0.66902237926972907</v>
      </c>
      <c r="C36">
        <v>1.408064622594084</v>
      </c>
      <c r="D36" t="s">
        <v>406</v>
      </c>
      <c r="F36" s="3" t="s">
        <v>174</v>
      </c>
      <c r="G36">
        <v>0.19605953528215009</v>
      </c>
      <c r="H36">
        <v>0.57282044204443883</v>
      </c>
      <c r="I36" t="s">
        <v>407</v>
      </c>
      <c r="K36">
        <f t="shared" si="0"/>
        <v>241.23429819770621</v>
      </c>
      <c r="M36" s="3" t="s">
        <v>174</v>
      </c>
      <c r="N36">
        <v>0.803972526452571</v>
      </c>
      <c r="O36">
        <v>1.9427851707836661</v>
      </c>
      <c r="P36" t="s">
        <v>408</v>
      </c>
      <c r="R36" s="3" t="s">
        <v>174</v>
      </c>
      <c r="S36">
        <v>0.2331538889920178</v>
      </c>
      <c r="T36">
        <v>0.6997371947686295</v>
      </c>
      <c r="U36" t="s">
        <v>409</v>
      </c>
      <c r="W36">
        <f t="shared" si="1"/>
        <v>244.82484076433124</v>
      </c>
    </row>
    <row r="37" spans="1:23" x14ac:dyDescent="0.25">
      <c r="A37" s="3" t="s">
        <v>179</v>
      </c>
      <c r="B37">
        <v>1.2426383981154301</v>
      </c>
      <c r="C37">
        <v>2.7521323221222009</v>
      </c>
      <c r="D37" t="s">
        <v>410</v>
      </c>
      <c r="F37" s="3" t="s">
        <v>179</v>
      </c>
      <c r="G37">
        <v>0.28065103330121</v>
      </c>
      <c r="H37">
        <v>1.006692833325028</v>
      </c>
      <c r="I37" t="s">
        <v>411</v>
      </c>
      <c r="K37">
        <f t="shared" si="0"/>
        <v>342.76993513925987</v>
      </c>
      <c r="M37" s="3" t="s">
        <v>179</v>
      </c>
      <c r="N37">
        <v>1.4423612400222761</v>
      </c>
      <c r="O37">
        <v>3.3862298740543531</v>
      </c>
      <c r="P37" t="s">
        <v>412</v>
      </c>
      <c r="R37" s="3" t="s">
        <v>179</v>
      </c>
      <c r="S37">
        <v>0.45052905142008542</v>
      </c>
      <c r="T37">
        <v>1.5297256374413759</v>
      </c>
      <c r="U37" t="s">
        <v>413</v>
      </c>
      <c r="W37">
        <f t="shared" si="1"/>
        <v>220.14833127317678</v>
      </c>
    </row>
    <row r="38" spans="1:23" x14ac:dyDescent="0.25">
      <c r="A38" s="3" t="s">
        <v>184</v>
      </c>
      <c r="B38">
        <v>0.28300674590427238</v>
      </c>
      <c r="C38">
        <v>0.92147304308600564</v>
      </c>
      <c r="D38" t="s">
        <v>414</v>
      </c>
      <c r="F38" s="3" t="s">
        <v>184</v>
      </c>
      <c r="G38">
        <v>0.1036513545347468</v>
      </c>
      <c r="H38">
        <v>0.40920882463083191</v>
      </c>
      <c r="I38" t="s">
        <v>415</v>
      </c>
      <c r="K38">
        <f t="shared" si="0"/>
        <v>173.03719008264449</v>
      </c>
      <c r="M38" s="3" t="s">
        <v>184</v>
      </c>
      <c r="N38">
        <v>0.29942454056060891</v>
      </c>
      <c r="O38">
        <v>0.87099869863598156</v>
      </c>
      <c r="P38" t="s">
        <v>416</v>
      </c>
      <c r="R38" s="3" t="s">
        <v>184</v>
      </c>
      <c r="S38">
        <v>0.10209764247261929</v>
      </c>
      <c r="T38">
        <v>0.44734773461239358</v>
      </c>
      <c r="U38" t="s">
        <v>417</v>
      </c>
      <c r="W38">
        <f t="shared" si="1"/>
        <v>193.27272727272725</v>
      </c>
    </row>
    <row r="39" spans="1:23" x14ac:dyDescent="0.25">
      <c r="A39" s="3" t="s">
        <v>189</v>
      </c>
      <c r="B39">
        <v>0.38590855551986292</v>
      </c>
      <c r="C39">
        <v>1.554919702150442</v>
      </c>
      <c r="D39" t="s">
        <v>418</v>
      </c>
      <c r="F39" s="3" t="s">
        <v>189</v>
      </c>
      <c r="G39">
        <v>0.121319199057715</v>
      </c>
      <c r="H39">
        <v>0.56676207444811222</v>
      </c>
      <c r="I39" t="s">
        <v>419</v>
      </c>
      <c r="K39">
        <f t="shared" si="0"/>
        <v>218.09355692850824</v>
      </c>
      <c r="M39" s="3" t="s">
        <v>189</v>
      </c>
      <c r="N39">
        <v>0.51271579728977168</v>
      </c>
      <c r="O39">
        <v>1.959858915246909</v>
      </c>
      <c r="P39" t="s">
        <v>420</v>
      </c>
      <c r="R39" s="3" t="s">
        <v>189</v>
      </c>
      <c r="S39">
        <v>0.16614070911453499</v>
      </c>
      <c r="T39">
        <v>0.69268954199269883</v>
      </c>
      <c r="U39" t="s">
        <v>421</v>
      </c>
      <c r="W39">
        <f t="shared" si="1"/>
        <v>208.60335195530726</v>
      </c>
    </row>
    <row r="40" spans="1:23" x14ac:dyDescent="0.25">
      <c r="A40" s="3" t="s">
        <v>194</v>
      </c>
      <c r="B40">
        <v>24.886283327979442</v>
      </c>
      <c r="C40">
        <v>10.61428353088877</v>
      </c>
      <c r="D40" t="s">
        <v>422</v>
      </c>
      <c r="F40" s="3" t="s">
        <v>194</v>
      </c>
      <c r="G40">
        <v>6.2147981582610559</v>
      </c>
      <c r="H40">
        <v>5.0860565452696296</v>
      </c>
      <c r="I40" t="s">
        <v>423</v>
      </c>
      <c r="K40">
        <f t="shared" si="0"/>
        <v>300.43590627153691</v>
      </c>
      <c r="M40" s="3" t="s">
        <v>194</v>
      </c>
      <c r="N40">
        <v>23.891219602747359</v>
      </c>
      <c r="O40">
        <v>10.511326222775409</v>
      </c>
      <c r="P40" t="s">
        <v>424</v>
      </c>
      <c r="R40" s="3" t="s">
        <v>194</v>
      </c>
      <c r="S40">
        <v>6.7000185632077223</v>
      </c>
      <c r="T40">
        <v>7.004285330875188</v>
      </c>
      <c r="U40" t="s">
        <v>425</v>
      </c>
      <c r="W40">
        <f t="shared" si="1"/>
        <v>256.58437924251245</v>
      </c>
    </row>
    <row r="41" spans="1:23" x14ac:dyDescent="0.25">
      <c r="A41" s="3" t="s">
        <v>199</v>
      </c>
      <c r="B41">
        <v>4.9507441910268764</v>
      </c>
      <c r="C41">
        <v>3.2302805108906041</v>
      </c>
      <c r="D41" t="s">
        <v>426</v>
      </c>
      <c r="F41" s="3" t="s">
        <v>199</v>
      </c>
      <c r="G41">
        <v>1.0239854374129991</v>
      </c>
      <c r="H41">
        <v>1.406035519309988</v>
      </c>
      <c r="I41" t="s">
        <v>427</v>
      </c>
      <c r="K41">
        <f t="shared" si="0"/>
        <v>383.4779880790548</v>
      </c>
      <c r="M41" s="3" t="s">
        <v>199</v>
      </c>
      <c r="N41">
        <v>5.1891590866901796</v>
      </c>
      <c r="O41">
        <v>3.5181415910230509</v>
      </c>
      <c r="P41" t="s">
        <v>428</v>
      </c>
      <c r="R41" s="3" t="s">
        <v>199</v>
      </c>
      <c r="S41">
        <v>1.3796175979209211</v>
      </c>
      <c r="T41">
        <v>1.946303017229789</v>
      </c>
      <c r="U41" t="s">
        <v>429</v>
      </c>
      <c r="W41">
        <f t="shared" si="1"/>
        <v>276.13024757804078</v>
      </c>
    </row>
    <row r="42" spans="1:23" x14ac:dyDescent="0.25">
      <c r="A42" s="3" t="s">
        <v>204</v>
      </c>
      <c r="B42">
        <v>12.39115536995396</v>
      </c>
      <c r="C42">
        <v>6.4340410871582021</v>
      </c>
      <c r="D42" t="s">
        <v>430</v>
      </c>
      <c r="F42" s="3" t="s">
        <v>204</v>
      </c>
      <c r="G42">
        <v>2.499303994003641</v>
      </c>
      <c r="H42">
        <v>2.5999972295972071</v>
      </c>
      <c r="I42" t="s">
        <v>431</v>
      </c>
      <c r="K42">
        <f t="shared" si="0"/>
        <v>395.78424232038054</v>
      </c>
      <c r="M42" s="3" t="s">
        <v>204</v>
      </c>
      <c r="N42">
        <v>11.369407833673661</v>
      </c>
      <c r="O42">
        <v>6.0616782546044838</v>
      </c>
      <c r="P42" t="s">
        <v>432</v>
      </c>
      <c r="R42" s="3" t="s">
        <v>204</v>
      </c>
      <c r="S42">
        <v>2.758121403378504</v>
      </c>
      <c r="T42">
        <v>3.5134834490345681</v>
      </c>
      <c r="U42" t="s">
        <v>433</v>
      </c>
      <c r="W42">
        <f t="shared" si="1"/>
        <v>312.21564140530353</v>
      </c>
    </row>
    <row r="43" spans="1:23" x14ac:dyDescent="0.25">
      <c r="A43" s="3" t="s">
        <v>209</v>
      </c>
      <c r="B43">
        <v>9.1741085769354314</v>
      </c>
      <c r="C43">
        <v>4.9179049594061768</v>
      </c>
      <c r="D43" t="s">
        <v>434</v>
      </c>
      <c r="F43" s="3" t="s">
        <v>209</v>
      </c>
      <c r="G43">
        <v>3.1992718706499619</v>
      </c>
      <c r="H43">
        <v>2.9622121278850089</v>
      </c>
      <c r="I43" t="s">
        <v>435</v>
      </c>
      <c r="K43">
        <f t="shared" si="0"/>
        <v>186.75614164268026</v>
      </c>
      <c r="M43" s="3" t="s">
        <v>209</v>
      </c>
      <c r="N43">
        <v>8.8366437720438089</v>
      </c>
      <c r="O43">
        <v>5.0316902619130284</v>
      </c>
      <c r="P43" t="s">
        <v>436</v>
      </c>
      <c r="R43" s="3" t="s">
        <v>209</v>
      </c>
      <c r="S43">
        <v>3.135697048449972</v>
      </c>
      <c r="T43">
        <v>3.5464611697249282</v>
      </c>
      <c r="U43" t="s">
        <v>437</v>
      </c>
      <c r="W43">
        <f t="shared" si="1"/>
        <v>181.80795642907887</v>
      </c>
    </row>
    <row r="44" spans="1:23" x14ac:dyDescent="0.25">
      <c r="A44" s="3" t="s">
        <v>214</v>
      </c>
      <c r="B44">
        <v>15.45700824499411</v>
      </c>
      <c r="C44">
        <v>9.3462664980399719</v>
      </c>
      <c r="D44" t="s">
        <v>438</v>
      </c>
      <c r="F44" s="3" t="s">
        <v>214</v>
      </c>
      <c r="G44">
        <v>3.165006960059964</v>
      </c>
      <c r="H44">
        <v>3.1729393043249221</v>
      </c>
      <c r="I44" t="s">
        <v>439</v>
      </c>
      <c r="K44">
        <f t="shared" si="0"/>
        <v>388.37201434467818</v>
      </c>
      <c r="M44" s="3" t="s">
        <v>214</v>
      </c>
      <c r="N44">
        <v>16.291813625394472</v>
      </c>
      <c r="O44">
        <v>11.0383430992807</v>
      </c>
      <c r="P44" t="s">
        <v>440</v>
      </c>
      <c r="R44" s="3" t="s">
        <v>214</v>
      </c>
      <c r="S44">
        <v>4.1188045294226843</v>
      </c>
      <c r="T44">
        <v>5.3109399717057197</v>
      </c>
      <c r="U44" t="s">
        <v>441</v>
      </c>
      <c r="W44">
        <f t="shared" si="1"/>
        <v>295.54714259960349</v>
      </c>
    </row>
    <row r="45" spans="1:23" x14ac:dyDescent="0.25">
      <c r="A45" s="3" t="s">
        <v>219</v>
      </c>
      <c r="B45">
        <v>7.53014241353464</v>
      </c>
      <c r="C45">
        <v>6.2681927543696094</v>
      </c>
      <c r="D45" t="s">
        <v>442</v>
      </c>
      <c r="F45" s="3" t="s">
        <v>219</v>
      </c>
      <c r="G45">
        <v>1.5684762822572009</v>
      </c>
      <c r="H45">
        <v>2.0633820418376021</v>
      </c>
      <c r="I45" t="s">
        <v>443</v>
      </c>
      <c r="K45">
        <f t="shared" si="0"/>
        <v>380.09284543965049</v>
      </c>
      <c r="M45" s="3" t="s">
        <v>219</v>
      </c>
      <c r="N45">
        <v>8.0139224057917211</v>
      </c>
      <c r="O45">
        <v>7.6320405068678161</v>
      </c>
      <c r="P45" t="s">
        <v>444</v>
      </c>
      <c r="R45" s="3" t="s">
        <v>219</v>
      </c>
      <c r="S45">
        <v>2.161685539261184</v>
      </c>
      <c r="T45">
        <v>3.4431398478355981</v>
      </c>
      <c r="U45" t="s">
        <v>445</v>
      </c>
      <c r="W45">
        <f t="shared" si="1"/>
        <v>270.72563331902109</v>
      </c>
    </row>
    <row r="46" spans="1:23" x14ac:dyDescent="0.25">
      <c r="A46" s="3" t="s">
        <v>224</v>
      </c>
      <c r="B46">
        <v>6.6061676839062002</v>
      </c>
      <c r="C46">
        <v>5.1080369644365344</v>
      </c>
      <c r="D46" t="s">
        <v>446</v>
      </c>
      <c r="F46" s="3" t="s">
        <v>224</v>
      </c>
      <c r="G46">
        <v>1.0849127315558409</v>
      </c>
      <c r="H46">
        <v>1.489294423559933</v>
      </c>
      <c r="I46" t="s">
        <v>447</v>
      </c>
      <c r="K46">
        <f t="shared" si="0"/>
        <v>508.91235688906448</v>
      </c>
      <c r="M46" s="3" t="s">
        <v>224</v>
      </c>
      <c r="N46">
        <v>6.7026174122888431</v>
      </c>
      <c r="O46">
        <v>5.4829783034261874</v>
      </c>
      <c r="P46" t="s">
        <v>448</v>
      </c>
      <c r="R46" s="3" t="s">
        <v>224</v>
      </c>
      <c r="S46">
        <v>1.2873584555411171</v>
      </c>
      <c r="T46">
        <v>2.1592368922160241</v>
      </c>
      <c r="U46" t="s">
        <v>449</v>
      </c>
      <c r="W46">
        <f t="shared" si="1"/>
        <v>420.6488824801732</v>
      </c>
    </row>
    <row r="47" spans="1:23" x14ac:dyDescent="0.25">
      <c r="A47" s="3" t="s">
        <v>229</v>
      </c>
      <c r="B47">
        <v>1.6047756719134809</v>
      </c>
      <c r="C47">
        <v>2.374911413054781</v>
      </c>
      <c r="D47" t="s">
        <v>450</v>
      </c>
      <c r="F47" s="3" t="s">
        <v>229</v>
      </c>
      <c r="G47">
        <v>0.3380447585394582</v>
      </c>
      <c r="H47">
        <v>0.74190084666119926</v>
      </c>
      <c r="I47" t="s">
        <v>451</v>
      </c>
      <c r="K47">
        <f t="shared" si="0"/>
        <v>374.72283813747225</v>
      </c>
      <c r="M47" s="3" t="s">
        <v>229</v>
      </c>
      <c r="N47">
        <v>1.913309819936885</v>
      </c>
      <c r="O47">
        <v>2.7443530005027519</v>
      </c>
      <c r="P47" t="s">
        <v>452</v>
      </c>
      <c r="R47" s="3" t="s">
        <v>229</v>
      </c>
      <c r="S47">
        <v>0.5344347503248561</v>
      </c>
      <c r="T47">
        <v>1.369822382433588</v>
      </c>
      <c r="U47" t="s">
        <v>453</v>
      </c>
      <c r="W47">
        <f t="shared" si="1"/>
        <v>258.00625217089265</v>
      </c>
    </row>
    <row r="48" spans="1:23" x14ac:dyDescent="0.25">
      <c r="A48" s="3" t="s">
        <v>234</v>
      </c>
      <c r="B48">
        <v>0.70949780490416536</v>
      </c>
      <c r="C48">
        <v>1.3489827658419331</v>
      </c>
      <c r="D48" t="s">
        <v>454</v>
      </c>
      <c r="F48" s="3" t="s">
        <v>234</v>
      </c>
      <c r="G48">
        <v>0.13620301959524581</v>
      </c>
      <c r="H48">
        <v>0.51041306718314028</v>
      </c>
      <c r="I48" t="s">
        <v>455</v>
      </c>
      <c r="K48">
        <f t="shared" si="0"/>
        <v>420.91194968553441</v>
      </c>
      <c r="M48" s="3" t="s">
        <v>234</v>
      </c>
      <c r="N48">
        <v>0.89289029144236121</v>
      </c>
      <c r="O48">
        <v>1.61760171082643</v>
      </c>
      <c r="P48" t="s">
        <v>456</v>
      </c>
      <c r="R48" s="3" t="s">
        <v>234</v>
      </c>
      <c r="S48">
        <v>0.2299981436792278</v>
      </c>
      <c r="T48">
        <v>0.77488811884608366</v>
      </c>
      <c r="U48" t="s">
        <v>457</v>
      </c>
      <c r="W48">
        <f t="shared" si="1"/>
        <v>288.21630347054071</v>
      </c>
    </row>
    <row r="49" spans="1:23" x14ac:dyDescent="0.25">
      <c r="A49" s="3" t="s">
        <v>239</v>
      </c>
      <c r="B49">
        <v>1.5932112645893559</v>
      </c>
      <c r="C49">
        <v>2.8979873074530209</v>
      </c>
      <c r="D49" t="s">
        <v>458</v>
      </c>
      <c r="F49" s="3" t="s">
        <v>239</v>
      </c>
      <c r="G49">
        <v>0.37348752543098829</v>
      </c>
      <c r="H49">
        <v>0.99211258200862207</v>
      </c>
      <c r="I49" t="s">
        <v>459</v>
      </c>
      <c r="K49">
        <f t="shared" si="0"/>
        <v>326.57683486238523</v>
      </c>
      <c r="M49" s="3" t="s">
        <v>239</v>
      </c>
      <c r="N49">
        <v>1.8641173194728049</v>
      </c>
      <c r="O49">
        <v>3.5313179989701249</v>
      </c>
      <c r="P49" t="s">
        <v>460</v>
      </c>
      <c r="R49" s="3" t="s">
        <v>239</v>
      </c>
      <c r="S49">
        <v>0.59996287358455536</v>
      </c>
      <c r="T49">
        <v>1.4879713267563071</v>
      </c>
      <c r="U49" t="s">
        <v>461</v>
      </c>
      <c r="W49">
        <f t="shared" si="1"/>
        <v>210.70544554455446</v>
      </c>
    </row>
    <row r="50" spans="1:23" x14ac:dyDescent="0.25">
      <c r="A50" s="3" t="s">
        <v>244</v>
      </c>
      <c r="B50">
        <v>0.7075704036834779</v>
      </c>
      <c r="C50">
        <v>2.1377987823468718</v>
      </c>
      <c r="D50" t="s">
        <v>462</v>
      </c>
      <c r="F50" s="3" t="s">
        <v>244</v>
      </c>
      <c r="G50">
        <v>0.22122282899668061</v>
      </c>
      <c r="H50">
        <v>0.76626740450021236</v>
      </c>
      <c r="I50" t="s">
        <v>463</v>
      </c>
      <c r="K50">
        <f t="shared" si="0"/>
        <v>219.84511132623425</v>
      </c>
      <c r="M50" s="3" t="s">
        <v>244</v>
      </c>
      <c r="N50">
        <v>0.50194913681084097</v>
      </c>
      <c r="O50">
        <v>1.2771179909484529</v>
      </c>
      <c r="P50" t="s">
        <v>464</v>
      </c>
      <c r="R50" s="3" t="s">
        <v>244</v>
      </c>
      <c r="S50">
        <v>0.17059587896788561</v>
      </c>
      <c r="T50">
        <v>0.60512454292067208</v>
      </c>
      <c r="U50" t="s">
        <v>465</v>
      </c>
      <c r="W50">
        <f t="shared" si="1"/>
        <v>194.23286180631129</v>
      </c>
    </row>
    <row r="51" spans="1:23" x14ac:dyDescent="0.25">
      <c r="A51" s="3" t="s">
        <v>249</v>
      </c>
      <c r="B51">
        <v>0.49673412570939068</v>
      </c>
      <c r="C51">
        <v>1.2324002108050911</v>
      </c>
      <c r="D51" t="s">
        <v>466</v>
      </c>
      <c r="F51" s="3" t="s">
        <v>249</v>
      </c>
      <c r="G51">
        <v>0.17978370275190059</v>
      </c>
      <c r="H51">
        <v>0.57460567490409786</v>
      </c>
      <c r="I51" t="s">
        <v>467</v>
      </c>
      <c r="K51">
        <f t="shared" si="0"/>
        <v>176.29541393686722</v>
      </c>
      <c r="M51" s="3" t="s">
        <v>249</v>
      </c>
      <c r="N51">
        <v>0.28754408761834038</v>
      </c>
      <c r="O51">
        <v>0.88595869056555643</v>
      </c>
      <c r="P51" t="s">
        <v>468</v>
      </c>
      <c r="R51" s="3" t="s">
        <v>249</v>
      </c>
      <c r="S51">
        <v>0.116391312418786</v>
      </c>
      <c r="T51">
        <v>0.51020456479885912</v>
      </c>
      <c r="U51" t="s">
        <v>469</v>
      </c>
      <c r="W51">
        <f t="shared" si="1"/>
        <v>147.04944178628375</v>
      </c>
    </row>
    <row r="52" spans="1:23" x14ac:dyDescent="0.25">
      <c r="A52" s="3" t="s">
        <v>254</v>
      </c>
      <c r="B52">
        <v>5.5145090480779528E-2</v>
      </c>
      <c r="C52">
        <v>0.36390475901651542</v>
      </c>
      <c r="D52" t="s">
        <v>470</v>
      </c>
      <c r="F52" s="3" t="s">
        <v>254</v>
      </c>
      <c r="G52">
        <v>3.2337509369311492E-2</v>
      </c>
      <c r="H52">
        <v>0.31663964236222569</v>
      </c>
      <c r="I52" t="s">
        <v>471</v>
      </c>
      <c r="K52">
        <f t="shared" si="0"/>
        <v>70.52980132450331</v>
      </c>
      <c r="M52" s="3" t="s">
        <v>254</v>
      </c>
      <c r="N52">
        <v>5.2162613699647302E-2</v>
      </c>
      <c r="O52">
        <v>0.33497185940477597</v>
      </c>
      <c r="P52" t="s">
        <v>472</v>
      </c>
      <c r="R52" s="3" t="s">
        <v>254</v>
      </c>
      <c r="S52">
        <v>2.6731019120103949E-2</v>
      </c>
      <c r="T52">
        <v>0.2030910107369743</v>
      </c>
      <c r="U52" t="s">
        <v>473</v>
      </c>
      <c r="W52">
        <f t="shared" si="1"/>
        <v>95.138888888888928</v>
      </c>
    </row>
    <row r="53" spans="1:23" x14ac:dyDescent="0.25">
      <c r="A53" s="3" t="s">
        <v>259</v>
      </c>
      <c r="B53">
        <v>8.9538494485490947</v>
      </c>
      <c r="C53">
        <v>4.9051739342192278</v>
      </c>
      <c r="D53" t="s">
        <v>474</v>
      </c>
      <c r="F53" s="3" t="s">
        <v>259</v>
      </c>
      <c r="G53">
        <v>1.594389120890888</v>
      </c>
      <c r="H53">
        <v>1.8964279187263311</v>
      </c>
      <c r="I53" t="s">
        <v>475</v>
      </c>
      <c r="K53">
        <f t="shared" si="0"/>
        <v>461.58495634654111</v>
      </c>
      <c r="M53" s="3" t="s">
        <v>259</v>
      </c>
      <c r="N53">
        <v>8.1215890105810278</v>
      </c>
      <c r="O53">
        <v>4.4065862160074483</v>
      </c>
      <c r="P53" t="s">
        <v>476</v>
      </c>
      <c r="R53" s="3" t="s">
        <v>259</v>
      </c>
      <c r="S53">
        <v>1.522739929459811</v>
      </c>
      <c r="T53">
        <v>2.0681825832523222</v>
      </c>
      <c r="U53" t="s">
        <v>477</v>
      </c>
      <c r="W53">
        <f t="shared" si="1"/>
        <v>433.35365110325472</v>
      </c>
    </row>
    <row r="54" spans="1:23" x14ac:dyDescent="0.25">
      <c r="A54" s="3" t="s">
        <v>264</v>
      </c>
      <c r="B54">
        <v>44.780597494378412</v>
      </c>
      <c r="C54">
        <v>16.643488916381092</v>
      </c>
      <c r="D54" t="s">
        <v>478</v>
      </c>
      <c r="F54" s="3" t="s">
        <v>264</v>
      </c>
      <c r="G54">
        <v>12.41835314273477</v>
      </c>
      <c r="H54">
        <v>11.06068123296482</v>
      </c>
      <c r="I54" t="s">
        <v>479</v>
      </c>
      <c r="K54">
        <f t="shared" si="0"/>
        <v>260.60012933821935</v>
      </c>
      <c r="M54" s="3" t="s">
        <v>264</v>
      </c>
      <c r="N54">
        <v>44.399851494338222</v>
      </c>
      <c r="O54">
        <v>17.550927011640042</v>
      </c>
      <c r="P54" t="s">
        <v>480</v>
      </c>
      <c r="R54" s="3" t="s">
        <v>264</v>
      </c>
      <c r="S54">
        <v>15.070911453499161</v>
      </c>
      <c r="T54">
        <v>13.112604038425831</v>
      </c>
      <c r="U54" t="s">
        <v>481</v>
      </c>
      <c r="W54">
        <f t="shared" si="1"/>
        <v>194.60627933043475</v>
      </c>
    </row>
    <row r="55" spans="1:23" x14ac:dyDescent="0.25">
      <c r="A55" s="3" t="s">
        <v>269</v>
      </c>
      <c r="B55">
        <v>4.9791198201092193E-2</v>
      </c>
      <c r="C55">
        <v>0.37481302439939712</v>
      </c>
      <c r="D55" t="s">
        <v>482</v>
      </c>
      <c r="F55" s="3" t="s">
        <v>269</v>
      </c>
      <c r="G55">
        <v>2.54845272513117E-2</v>
      </c>
      <c r="H55">
        <v>0.25557285812892078</v>
      </c>
      <c r="I55" t="s">
        <v>483</v>
      </c>
      <c r="K55">
        <f t="shared" si="0"/>
        <v>95.378151260504211</v>
      </c>
      <c r="M55" s="3" t="s">
        <v>269</v>
      </c>
      <c r="N55">
        <v>8.2977538518656024E-2</v>
      </c>
      <c r="O55">
        <v>0.46526368956989028</v>
      </c>
      <c r="P55" t="s">
        <v>484</v>
      </c>
      <c r="R55" s="3" t="s">
        <v>269</v>
      </c>
      <c r="S55">
        <v>7.2767774271394095E-2</v>
      </c>
      <c r="T55">
        <v>0.34240879983187461</v>
      </c>
      <c r="U55" t="s">
        <v>485</v>
      </c>
      <c r="W55">
        <f t="shared" si="1"/>
        <v>14.030612244897963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FF37-07C2-406D-905C-8E4F6A45A9D2}">
  <dimension ref="A1:K58"/>
  <sheetViews>
    <sheetView tabSelected="1" topLeftCell="A37" workbookViewId="0">
      <selection activeCell="M46" sqref="M46"/>
    </sheetView>
  </sheetViews>
  <sheetFormatPr defaultRowHeight="13.8" x14ac:dyDescent="0.25"/>
  <sheetData>
    <row r="1" spans="1:11" ht="15.6" customHeight="1" x14ac:dyDescent="0.25">
      <c r="A1" s="14" t="s">
        <v>530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13" customFormat="1" ht="15.6" customHeight="1" x14ac:dyDescent="0.25">
      <c r="A2" s="14" t="s">
        <v>529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4"/>
      <c r="B3" s="5" t="s">
        <v>486</v>
      </c>
      <c r="C3" s="5"/>
      <c r="D3" s="5"/>
      <c r="E3" s="5"/>
      <c r="F3" s="5"/>
      <c r="G3" s="5"/>
      <c r="H3" s="5" t="s">
        <v>487</v>
      </c>
      <c r="I3" s="5"/>
      <c r="J3" s="5"/>
      <c r="K3" s="5"/>
    </row>
    <row r="4" spans="1:11" x14ac:dyDescent="0.25">
      <c r="A4" s="4" t="s">
        <v>488</v>
      </c>
      <c r="B4" s="6" t="s">
        <v>489</v>
      </c>
      <c r="C4" s="6"/>
      <c r="D4" s="7" t="s">
        <v>490</v>
      </c>
      <c r="E4" s="6" t="s">
        <v>491</v>
      </c>
      <c r="F4" s="6"/>
      <c r="G4" s="7" t="s">
        <v>490</v>
      </c>
      <c r="H4" s="6" t="s">
        <v>489</v>
      </c>
      <c r="I4" s="7" t="s">
        <v>490</v>
      </c>
      <c r="J4" s="6" t="s">
        <v>491</v>
      </c>
      <c r="K4" s="7" t="s">
        <v>490</v>
      </c>
    </row>
    <row r="5" spans="1:11" x14ac:dyDescent="0.25">
      <c r="A5" s="4" t="s">
        <v>492</v>
      </c>
      <c r="B5" s="8">
        <v>5.7702239094455697E-3</v>
      </c>
      <c r="C5" s="8"/>
      <c r="D5" s="9" t="s">
        <v>493</v>
      </c>
      <c r="E5" s="8">
        <v>-2.99890238545404</v>
      </c>
      <c r="F5" s="8"/>
      <c r="G5" s="10" t="s">
        <v>493</v>
      </c>
      <c r="H5" s="8">
        <v>438.74879278892598</v>
      </c>
      <c r="I5" s="10" t="s">
        <v>493</v>
      </c>
      <c r="J5" s="8">
        <v>338.14756671899499</v>
      </c>
      <c r="K5" s="10" t="s">
        <v>493</v>
      </c>
    </row>
    <row r="6" spans="1:11" x14ac:dyDescent="0.25">
      <c r="A6" s="10" t="s">
        <v>494</v>
      </c>
      <c r="B6" s="8">
        <v>-11.455927387090799</v>
      </c>
      <c r="C6" s="8"/>
      <c r="D6" s="9" t="s">
        <v>493</v>
      </c>
      <c r="E6" s="8">
        <v>-15.1324191061044</v>
      </c>
      <c r="F6" s="8"/>
      <c r="G6" s="10" t="s">
        <v>493</v>
      </c>
      <c r="H6" s="8">
        <v>503.03144417247199</v>
      </c>
      <c r="I6" s="10" t="s">
        <v>493</v>
      </c>
      <c r="J6" s="8">
        <v>353.55309375844399</v>
      </c>
      <c r="K6" s="10" t="s">
        <v>493</v>
      </c>
    </row>
    <row r="7" spans="1:11" x14ac:dyDescent="0.25">
      <c r="A7" s="10" t="s">
        <v>495</v>
      </c>
      <c r="B7" s="8">
        <v>15.2736170456346</v>
      </c>
      <c r="C7" s="8"/>
      <c r="D7" s="9" t="s">
        <v>493</v>
      </c>
      <c r="E7" s="8">
        <v>7.8451833644989399</v>
      </c>
      <c r="F7" s="8"/>
      <c r="G7" s="10" t="s">
        <v>493</v>
      </c>
      <c r="H7" s="8">
        <v>575.63598759048602</v>
      </c>
      <c r="I7" s="10" t="s">
        <v>493</v>
      </c>
      <c r="J7" s="8">
        <v>436.85925925925898</v>
      </c>
      <c r="K7" s="10" t="s">
        <v>493</v>
      </c>
    </row>
    <row r="8" spans="1:11" x14ac:dyDescent="0.25">
      <c r="A8" s="10" t="s">
        <v>24</v>
      </c>
      <c r="B8" s="8">
        <v>-35.984227181253203</v>
      </c>
      <c r="C8" s="8"/>
      <c r="D8" s="9" t="s">
        <v>493</v>
      </c>
      <c r="E8" s="8">
        <v>-40.402509066310799</v>
      </c>
      <c r="F8" s="8"/>
      <c r="G8" s="10" t="s">
        <v>493</v>
      </c>
      <c r="H8" s="8">
        <v>20.882899628252801</v>
      </c>
      <c r="I8" s="10" t="s">
        <v>493</v>
      </c>
      <c r="J8" s="8">
        <v>28.4780364720725</v>
      </c>
      <c r="K8" s="10" t="s">
        <v>493</v>
      </c>
    </row>
    <row r="9" spans="1:11" x14ac:dyDescent="0.25">
      <c r="A9" s="10" t="s">
        <v>496</v>
      </c>
      <c r="B9" s="8">
        <v>-0.308083078826901</v>
      </c>
      <c r="C9" s="8"/>
      <c r="D9" s="9" t="s">
        <v>493</v>
      </c>
      <c r="E9" s="8">
        <v>-1.77186077131738</v>
      </c>
      <c r="F9" s="8"/>
      <c r="G9" s="10" t="s">
        <v>493</v>
      </c>
      <c r="H9" s="8">
        <v>395.12166656941099</v>
      </c>
      <c r="I9" s="10" t="s">
        <v>493</v>
      </c>
      <c r="J9" s="8">
        <v>319.18142944410499</v>
      </c>
      <c r="K9" s="10" t="s">
        <v>493</v>
      </c>
    </row>
    <row r="10" spans="1:11" x14ac:dyDescent="0.25">
      <c r="A10" s="11" t="s">
        <v>497</v>
      </c>
      <c r="B10" s="12">
        <v>-29.000975603014901</v>
      </c>
      <c r="C10" s="12"/>
      <c r="D10" s="9" t="s">
        <v>493</v>
      </c>
      <c r="E10" s="12">
        <v>-25.8626747079282</v>
      </c>
      <c r="F10" s="12"/>
      <c r="G10" s="9" t="s">
        <v>493</v>
      </c>
      <c r="H10" s="12">
        <v>234.51435552840601</v>
      </c>
      <c r="I10" s="9" t="s">
        <v>493</v>
      </c>
      <c r="J10" s="12">
        <v>186.524064171123</v>
      </c>
      <c r="K10" s="9" t="s">
        <v>493</v>
      </c>
    </row>
    <row r="11" spans="1:11" x14ac:dyDescent="0.25">
      <c r="A11" s="11" t="s">
        <v>498</v>
      </c>
      <c r="B11" s="12">
        <v>34.858689628972499</v>
      </c>
      <c r="C11" s="12"/>
      <c r="D11" s="9" t="s">
        <v>493</v>
      </c>
      <c r="E11" s="12">
        <v>30.633093903018899</v>
      </c>
      <c r="F11" s="12"/>
      <c r="G11" s="9" t="s">
        <v>493</v>
      </c>
      <c r="H11" s="12">
        <v>507.95107033639198</v>
      </c>
      <c r="I11" s="9" t="s">
        <v>493</v>
      </c>
      <c r="J11" s="12">
        <v>372.63779527559097</v>
      </c>
      <c r="K11" s="9" t="s">
        <v>493</v>
      </c>
    </row>
    <row r="12" spans="1:11" x14ac:dyDescent="0.25">
      <c r="A12" s="11" t="s">
        <v>499</v>
      </c>
      <c r="B12" s="12">
        <v>-7.4967601528879797</v>
      </c>
      <c r="C12" s="12"/>
      <c r="D12" s="9" t="s">
        <v>500</v>
      </c>
      <c r="E12" s="12">
        <v>-8.8033273518811104</v>
      </c>
      <c r="F12" s="12"/>
      <c r="G12" s="9" t="s">
        <v>500</v>
      </c>
      <c r="H12" s="12">
        <v>221.04782211392001</v>
      </c>
      <c r="I12" s="9" t="s">
        <v>493</v>
      </c>
      <c r="J12" s="12">
        <v>180.55959302325601</v>
      </c>
      <c r="K12" s="9" t="s">
        <v>493</v>
      </c>
    </row>
    <row r="13" spans="1:11" x14ac:dyDescent="0.25">
      <c r="A13" s="11" t="s">
        <v>501</v>
      </c>
      <c r="B13" s="12">
        <v>-6.3684113513845402</v>
      </c>
      <c r="C13" s="12"/>
      <c r="D13" s="9" t="s">
        <v>493</v>
      </c>
      <c r="E13" s="12">
        <v>-8.9285513846046207</v>
      </c>
      <c r="F13" s="12"/>
      <c r="G13" s="9" t="s">
        <v>493</v>
      </c>
      <c r="H13" s="12">
        <v>443.50088855039297</v>
      </c>
      <c r="I13" s="9" t="s">
        <v>493</v>
      </c>
      <c r="J13" s="12">
        <v>396.99118848055002</v>
      </c>
      <c r="K13" s="9" t="s">
        <v>493</v>
      </c>
    </row>
    <row r="14" spans="1:11" x14ac:dyDescent="0.25">
      <c r="A14" s="4" t="s">
        <v>502</v>
      </c>
      <c r="B14" s="8">
        <v>22.2002848933761</v>
      </c>
      <c r="C14" s="8"/>
      <c r="D14" s="10" t="s">
        <v>493</v>
      </c>
      <c r="E14" s="8">
        <v>16.16190977059</v>
      </c>
      <c r="F14" s="8"/>
      <c r="G14" s="10" t="s">
        <v>493</v>
      </c>
      <c r="H14" s="8">
        <v>452.84788668725997</v>
      </c>
      <c r="I14" s="10" t="s">
        <v>493</v>
      </c>
      <c r="J14" s="8">
        <v>356.56159038830702</v>
      </c>
      <c r="K14" s="10" t="s">
        <v>493</v>
      </c>
    </row>
    <row r="15" spans="1:11" x14ac:dyDescent="0.25">
      <c r="A15" s="10" t="s">
        <v>59</v>
      </c>
      <c r="B15" s="8">
        <v>1.8490226904461899</v>
      </c>
      <c r="C15" s="8"/>
      <c r="D15" s="10" t="s">
        <v>503</v>
      </c>
      <c r="E15" s="8">
        <v>0.42022442042265801</v>
      </c>
      <c r="F15" s="8"/>
      <c r="G15" s="10" t="s">
        <v>493</v>
      </c>
      <c r="H15" s="8">
        <v>226.76234698184899</v>
      </c>
      <c r="I15" s="10" t="s">
        <v>493</v>
      </c>
      <c r="J15" s="8">
        <v>197.15873996293999</v>
      </c>
      <c r="K15" s="10" t="s">
        <v>493</v>
      </c>
    </row>
    <row r="16" spans="1:11" x14ac:dyDescent="0.25">
      <c r="A16" s="10" t="s">
        <v>64</v>
      </c>
      <c r="B16" s="8">
        <v>-13.3472595535819</v>
      </c>
      <c r="C16" s="8"/>
      <c r="D16" s="10" t="s">
        <v>503</v>
      </c>
      <c r="E16" s="8">
        <v>-19.3670316664242</v>
      </c>
      <c r="F16" s="8"/>
      <c r="G16" s="10" t="s">
        <v>493</v>
      </c>
      <c r="H16" s="8">
        <v>171.111111111111</v>
      </c>
      <c r="I16" s="10" t="s">
        <v>493</v>
      </c>
      <c r="J16" s="8">
        <v>213.230769230769</v>
      </c>
      <c r="K16" s="10" t="s">
        <v>493</v>
      </c>
    </row>
    <row r="17" spans="1:11" x14ac:dyDescent="0.25">
      <c r="A17" s="10" t="s">
        <v>69</v>
      </c>
      <c r="B17" s="8">
        <v>13.030255065197901</v>
      </c>
      <c r="C17" s="8"/>
      <c r="D17" s="10" t="s">
        <v>493</v>
      </c>
      <c r="E17" s="8">
        <v>7.7679544336880602</v>
      </c>
      <c r="F17" s="8"/>
      <c r="G17" s="10" t="s">
        <v>493</v>
      </c>
      <c r="H17" s="8">
        <v>397.25081256771398</v>
      </c>
      <c r="I17" s="10" t="s">
        <v>493</v>
      </c>
      <c r="J17" s="8">
        <v>315.832389580974</v>
      </c>
      <c r="K17" s="10" t="s">
        <v>493</v>
      </c>
    </row>
    <row r="18" spans="1:11" x14ac:dyDescent="0.25">
      <c r="A18" s="4" t="s">
        <v>504</v>
      </c>
      <c r="B18" s="8">
        <v>50.552760402220201</v>
      </c>
      <c r="C18" s="8"/>
      <c r="D18" s="10" t="s">
        <v>493</v>
      </c>
      <c r="E18" s="8">
        <v>43.867950634086</v>
      </c>
      <c r="F18" s="8"/>
      <c r="G18" s="10" t="s">
        <v>493</v>
      </c>
      <c r="H18" s="8">
        <v>523.23780423559197</v>
      </c>
      <c r="I18" s="10" t="s">
        <v>493</v>
      </c>
      <c r="J18" s="8">
        <v>444.73775616533499</v>
      </c>
      <c r="K18" s="10" t="s">
        <v>493</v>
      </c>
    </row>
    <row r="19" spans="1:11" x14ac:dyDescent="0.25">
      <c r="A19" s="10" t="s">
        <v>505</v>
      </c>
      <c r="B19" s="8">
        <v>54.760303864861903</v>
      </c>
      <c r="C19" s="8"/>
      <c r="D19" s="10" t="s">
        <v>493</v>
      </c>
      <c r="E19" s="8">
        <v>55.317208860584699</v>
      </c>
      <c r="F19" s="8"/>
      <c r="G19" s="10" t="s">
        <v>493</v>
      </c>
      <c r="H19" s="8">
        <v>572.24169353708101</v>
      </c>
      <c r="I19" s="10" t="s">
        <v>493</v>
      </c>
      <c r="J19" s="8">
        <v>507.96661608497698</v>
      </c>
      <c r="K19" s="10" t="s">
        <v>493</v>
      </c>
    </row>
    <row r="20" spans="1:11" x14ac:dyDescent="0.25">
      <c r="A20" s="10" t="s">
        <v>506</v>
      </c>
      <c r="B20" s="8">
        <v>32.220382531976199</v>
      </c>
      <c r="C20" s="8"/>
      <c r="D20" s="10" t="s">
        <v>493</v>
      </c>
      <c r="E20" s="8">
        <v>22.542430478083801</v>
      </c>
      <c r="F20" s="8"/>
      <c r="G20" s="10" t="s">
        <v>493</v>
      </c>
      <c r="H20" s="8">
        <v>408.35101735114199</v>
      </c>
      <c r="I20" s="10" t="s">
        <v>493</v>
      </c>
      <c r="J20" s="8">
        <v>320.95477386934698</v>
      </c>
      <c r="K20" s="10" t="s">
        <v>493</v>
      </c>
    </row>
    <row r="21" spans="1:11" x14ac:dyDescent="0.25">
      <c r="A21" s="11" t="s">
        <v>507</v>
      </c>
      <c r="B21" s="12">
        <v>44.591388605236197</v>
      </c>
      <c r="C21" s="12"/>
      <c r="D21" s="9" t="s">
        <v>493</v>
      </c>
      <c r="E21" s="12">
        <v>35.846417728683903</v>
      </c>
      <c r="F21" s="12"/>
      <c r="G21" s="9" t="s">
        <v>493</v>
      </c>
      <c r="H21" s="12">
        <v>714.21245421245396</v>
      </c>
      <c r="I21" s="9" t="s">
        <v>493</v>
      </c>
      <c r="J21" s="12">
        <v>619.37984496124</v>
      </c>
      <c r="K21" s="9" t="s">
        <v>493</v>
      </c>
    </row>
    <row r="22" spans="1:11" x14ac:dyDescent="0.25">
      <c r="A22" s="11" t="s">
        <v>94</v>
      </c>
      <c r="B22" s="12">
        <v>34.917837613996802</v>
      </c>
      <c r="C22" s="12"/>
      <c r="D22" s="9" t="s">
        <v>493</v>
      </c>
      <c r="E22" s="12">
        <v>19.2723945330996</v>
      </c>
      <c r="F22" s="12"/>
      <c r="G22" s="9" t="s">
        <v>493</v>
      </c>
      <c r="H22" s="12">
        <v>323.78902045209901</v>
      </c>
      <c r="I22" s="9" t="s">
        <v>493</v>
      </c>
      <c r="J22" s="12">
        <v>245.38526672311599</v>
      </c>
      <c r="K22" s="9" t="s">
        <v>493</v>
      </c>
    </row>
    <row r="23" spans="1:11" x14ac:dyDescent="0.25">
      <c r="A23" s="11" t="s">
        <v>508</v>
      </c>
      <c r="B23" s="12">
        <v>50.426419268405098</v>
      </c>
      <c r="C23" s="12"/>
      <c r="D23" s="9" t="s">
        <v>493</v>
      </c>
      <c r="E23" s="12">
        <v>48.947961294492998</v>
      </c>
      <c r="F23" s="12"/>
      <c r="G23" s="9" t="s">
        <v>493</v>
      </c>
      <c r="H23" s="12">
        <v>789.48995363214794</v>
      </c>
      <c r="I23" s="9" t="s">
        <v>493</v>
      </c>
      <c r="J23" s="12">
        <v>562.36111111111097</v>
      </c>
      <c r="K23" s="9" t="s">
        <v>493</v>
      </c>
    </row>
    <row r="24" spans="1:11" x14ac:dyDescent="0.25">
      <c r="A24" s="4" t="s">
        <v>509</v>
      </c>
      <c r="B24" s="8">
        <v>20.195818495000399</v>
      </c>
      <c r="C24" s="8"/>
      <c r="D24" s="10" t="s">
        <v>493</v>
      </c>
      <c r="E24" s="8">
        <v>12.503103505075799</v>
      </c>
      <c r="F24" s="8"/>
      <c r="G24" s="10" t="s">
        <v>493</v>
      </c>
      <c r="H24" s="8">
        <v>588.26572882674202</v>
      </c>
      <c r="I24" s="10" t="s">
        <v>493</v>
      </c>
      <c r="J24" s="8">
        <v>444.42643616063401</v>
      </c>
      <c r="K24" s="10" t="s">
        <v>493</v>
      </c>
    </row>
    <row r="25" spans="1:11" x14ac:dyDescent="0.25">
      <c r="A25" s="10" t="s">
        <v>109</v>
      </c>
      <c r="B25" s="8">
        <v>18.452416467273402</v>
      </c>
      <c r="C25" s="8"/>
      <c r="D25" s="10" t="s">
        <v>493</v>
      </c>
      <c r="E25" s="8">
        <v>9.8512508669585603</v>
      </c>
      <c r="F25" s="8"/>
      <c r="G25" s="10" t="s">
        <v>493</v>
      </c>
      <c r="H25" s="8">
        <v>565.16107823800098</v>
      </c>
      <c r="I25" s="10" t="s">
        <v>493</v>
      </c>
      <c r="J25" s="8">
        <v>437.47249292675201</v>
      </c>
      <c r="K25" s="10" t="s">
        <v>493</v>
      </c>
    </row>
    <row r="26" spans="1:11" x14ac:dyDescent="0.25">
      <c r="A26" s="10" t="s">
        <v>510</v>
      </c>
      <c r="B26" s="8">
        <v>43.062517134730101</v>
      </c>
      <c r="C26" s="8"/>
      <c r="D26" s="10" t="s">
        <v>493</v>
      </c>
      <c r="E26" s="8">
        <v>29.9800636287085</v>
      </c>
      <c r="F26" s="8"/>
      <c r="G26" s="10" t="s">
        <v>493</v>
      </c>
      <c r="H26" s="8">
        <v>720.46800520005797</v>
      </c>
      <c r="I26" s="10" t="s">
        <v>493</v>
      </c>
      <c r="J26" s="8">
        <v>558.70744943265902</v>
      </c>
      <c r="K26" s="10" t="s">
        <v>493</v>
      </c>
    </row>
    <row r="27" spans="1:11" x14ac:dyDescent="0.25">
      <c r="A27" s="10" t="s">
        <v>511</v>
      </c>
      <c r="B27" s="8">
        <v>8.9510229380854494</v>
      </c>
      <c r="C27" s="8"/>
      <c r="D27" s="10" t="s">
        <v>493</v>
      </c>
      <c r="E27" s="8">
        <v>2.8304133808036198</v>
      </c>
      <c r="F27" s="8"/>
      <c r="G27" s="10" t="s">
        <v>493</v>
      </c>
      <c r="H27" s="8">
        <v>612.59382819015798</v>
      </c>
      <c r="I27" s="10" t="s">
        <v>493</v>
      </c>
      <c r="J27" s="8">
        <v>451.24447545940899</v>
      </c>
      <c r="K27" s="10" t="s">
        <v>493</v>
      </c>
    </row>
    <row r="28" spans="1:11" x14ac:dyDescent="0.25">
      <c r="A28" s="10" t="s">
        <v>512</v>
      </c>
      <c r="B28" s="8">
        <v>20.079695075989299</v>
      </c>
      <c r="C28" s="8"/>
      <c r="D28" s="10" t="s">
        <v>493</v>
      </c>
      <c r="E28" s="8">
        <v>7.1357255207547201</v>
      </c>
      <c r="F28" s="8"/>
      <c r="G28" s="10" t="s">
        <v>493</v>
      </c>
      <c r="H28" s="8">
        <v>613.21044546850999</v>
      </c>
      <c r="I28" s="10" t="s">
        <v>493</v>
      </c>
      <c r="J28" s="8">
        <v>430.108827085852</v>
      </c>
      <c r="K28" s="10" t="s">
        <v>493</v>
      </c>
    </row>
    <row r="29" spans="1:11" x14ac:dyDescent="0.25">
      <c r="A29" s="10" t="s">
        <v>513</v>
      </c>
      <c r="B29" s="8">
        <v>11.503633822994299</v>
      </c>
      <c r="C29" s="8"/>
      <c r="D29" s="10" t="s">
        <v>493</v>
      </c>
      <c r="E29" s="8">
        <v>1.77630298159577</v>
      </c>
      <c r="F29" s="8"/>
      <c r="G29" s="10" t="s">
        <v>493</v>
      </c>
      <c r="H29" s="8">
        <v>604.21159715157705</v>
      </c>
      <c r="I29" s="10" t="s">
        <v>493</v>
      </c>
      <c r="J29" s="8">
        <v>485.822617870096</v>
      </c>
      <c r="K29" s="10" t="s">
        <v>493</v>
      </c>
    </row>
    <row r="30" spans="1:11" x14ac:dyDescent="0.25">
      <c r="A30" s="10" t="s">
        <v>514</v>
      </c>
      <c r="B30" s="8">
        <v>34.556051564034902</v>
      </c>
      <c r="C30" s="8"/>
      <c r="D30" s="10" t="s">
        <v>493</v>
      </c>
      <c r="E30" s="8">
        <v>28.6004443925586</v>
      </c>
      <c r="F30" s="8"/>
      <c r="G30" s="10" t="s">
        <v>493</v>
      </c>
      <c r="H30" s="8">
        <v>611.91462021701898</v>
      </c>
      <c r="I30" s="10" t="s">
        <v>493</v>
      </c>
      <c r="J30" s="8">
        <v>469.13515771882197</v>
      </c>
      <c r="K30" s="10" t="s">
        <v>493</v>
      </c>
    </row>
    <row r="31" spans="1:11" x14ac:dyDescent="0.25">
      <c r="A31" s="10" t="s">
        <v>515</v>
      </c>
      <c r="B31" s="8">
        <v>-26.9947784511502</v>
      </c>
      <c r="C31" s="8"/>
      <c r="D31" s="10" t="s">
        <v>493</v>
      </c>
      <c r="E31" s="8">
        <v>-29.998877182746501</v>
      </c>
      <c r="F31" s="8"/>
      <c r="G31" s="10" t="s">
        <v>493</v>
      </c>
      <c r="H31" s="8">
        <v>364.69344608879499</v>
      </c>
      <c r="I31" s="10" t="s">
        <v>493</v>
      </c>
      <c r="J31" s="8">
        <v>286.056253740275</v>
      </c>
      <c r="K31" s="10" t="s">
        <v>493</v>
      </c>
    </row>
    <row r="32" spans="1:11" x14ac:dyDescent="0.25">
      <c r="A32" s="10" t="s">
        <v>516</v>
      </c>
      <c r="B32" s="8">
        <v>50.745414444847697</v>
      </c>
      <c r="C32" s="8"/>
      <c r="D32" s="10" t="s">
        <v>493</v>
      </c>
      <c r="E32" s="8">
        <v>30.211392167487102</v>
      </c>
      <c r="F32" s="8"/>
      <c r="G32" s="10" t="s">
        <v>493</v>
      </c>
      <c r="H32" s="8">
        <v>415.87778612571998</v>
      </c>
      <c r="I32" s="10" t="s">
        <v>493</v>
      </c>
      <c r="J32" s="8">
        <v>283.84043272481398</v>
      </c>
      <c r="K32" s="10" t="s">
        <v>493</v>
      </c>
    </row>
    <row r="33" spans="1:11" x14ac:dyDescent="0.25">
      <c r="A33" s="4" t="s">
        <v>517</v>
      </c>
      <c r="B33" s="8">
        <v>4.9418793865030404</v>
      </c>
      <c r="C33" s="8"/>
      <c r="D33" s="10" t="s">
        <v>493</v>
      </c>
      <c r="E33" s="8">
        <v>-0.82530791455619401</v>
      </c>
      <c r="F33" s="8"/>
      <c r="G33" s="10" t="s">
        <v>493</v>
      </c>
      <c r="H33" s="8">
        <v>330.82528116584803</v>
      </c>
      <c r="I33" s="10" t="s">
        <v>493</v>
      </c>
      <c r="J33" s="8">
        <v>339.04402515723302</v>
      </c>
      <c r="K33" s="10" t="s">
        <v>493</v>
      </c>
    </row>
    <row r="34" spans="1:11" x14ac:dyDescent="0.25">
      <c r="A34" s="10" t="s">
        <v>518</v>
      </c>
      <c r="B34" s="8">
        <v>11.397656158211401</v>
      </c>
      <c r="C34" s="8"/>
      <c r="D34" s="10" t="s">
        <v>493</v>
      </c>
      <c r="E34" s="8">
        <v>5.12038391379979</v>
      </c>
      <c r="F34" s="8"/>
      <c r="G34" s="10" t="s">
        <v>500</v>
      </c>
      <c r="H34" s="8">
        <v>182.62068965517199</v>
      </c>
      <c r="I34" s="10" t="s">
        <v>493</v>
      </c>
      <c r="J34" s="8">
        <v>236.233766233766</v>
      </c>
      <c r="K34" s="10" t="s">
        <v>493</v>
      </c>
    </row>
    <row r="35" spans="1:11" x14ac:dyDescent="0.25">
      <c r="A35" s="10" t="s">
        <v>519</v>
      </c>
      <c r="B35" s="8">
        <v>-31.587703529374799</v>
      </c>
      <c r="C35" s="8"/>
      <c r="D35" s="10" t="s">
        <v>493</v>
      </c>
      <c r="E35" s="8">
        <v>-30.750014010890101</v>
      </c>
      <c r="F35" s="8"/>
      <c r="G35" s="10" t="s">
        <v>493</v>
      </c>
      <c r="H35" s="8">
        <v>329.777070063694</v>
      </c>
      <c r="I35" s="10" t="s">
        <v>493</v>
      </c>
      <c r="J35" s="8">
        <v>247.005742411813</v>
      </c>
      <c r="K35" s="10" t="s">
        <v>493</v>
      </c>
    </row>
    <row r="36" spans="1:11" x14ac:dyDescent="0.25">
      <c r="A36" s="10" t="s">
        <v>520</v>
      </c>
      <c r="B36" s="8">
        <v>4.8820747657957098</v>
      </c>
      <c r="C36" s="8"/>
      <c r="D36" s="10" t="s">
        <v>503</v>
      </c>
      <c r="E36" s="8">
        <v>-7.1734025344694503</v>
      </c>
      <c r="F36" s="8"/>
      <c r="G36" s="10" t="s">
        <v>503</v>
      </c>
      <c r="H36" s="8">
        <v>424.69798657718098</v>
      </c>
      <c r="I36" s="10" t="s">
        <v>493</v>
      </c>
      <c r="J36" s="8">
        <v>407.04918032786901</v>
      </c>
      <c r="K36" s="10" t="s">
        <v>493</v>
      </c>
    </row>
    <row r="37" spans="1:11" x14ac:dyDescent="0.25">
      <c r="A37" s="4" t="s">
        <v>521</v>
      </c>
      <c r="B37" s="8">
        <v>4.6984681536176103</v>
      </c>
      <c r="C37" s="8"/>
      <c r="D37" s="10" t="s">
        <v>500</v>
      </c>
      <c r="E37" s="8">
        <v>-9.6559453078829005</v>
      </c>
      <c r="F37" s="8"/>
      <c r="G37" s="10" t="s">
        <v>493</v>
      </c>
      <c r="H37" s="8">
        <v>250.58676263495599</v>
      </c>
      <c r="I37" s="10" t="s">
        <v>493</v>
      </c>
      <c r="J37" s="8">
        <v>214.44488658973299</v>
      </c>
      <c r="K37" s="10" t="s">
        <v>493</v>
      </c>
    </row>
    <row r="38" spans="1:11" x14ac:dyDescent="0.25">
      <c r="A38" s="10" t="s">
        <v>174</v>
      </c>
      <c r="B38" s="8">
        <v>-8.9506880004073004</v>
      </c>
      <c r="C38" s="8"/>
      <c r="D38" s="10" t="s">
        <v>503</v>
      </c>
      <c r="E38" s="8">
        <v>-25.1431006439744</v>
      </c>
      <c r="F38" s="8"/>
      <c r="G38" s="10" t="s">
        <v>493</v>
      </c>
      <c r="H38" s="8">
        <v>241.23429819770601</v>
      </c>
      <c r="I38" s="10" t="s">
        <v>493</v>
      </c>
      <c r="J38" s="8">
        <v>244.82484076433099</v>
      </c>
      <c r="K38" s="10" t="s">
        <v>493</v>
      </c>
    </row>
    <row r="39" spans="1:11" x14ac:dyDescent="0.25">
      <c r="A39" s="10" t="s">
        <v>179</v>
      </c>
      <c r="B39" s="8">
        <v>25.575723199092501</v>
      </c>
      <c r="C39" s="8"/>
      <c r="D39" s="10" t="s">
        <v>493</v>
      </c>
      <c r="E39" s="8">
        <v>13.0573666315533</v>
      </c>
      <c r="F39" s="8"/>
      <c r="G39" s="10" t="s">
        <v>493</v>
      </c>
      <c r="H39" s="8">
        <v>342.76993513925999</v>
      </c>
      <c r="I39" s="10" t="s">
        <v>493</v>
      </c>
      <c r="J39" s="8">
        <v>220.14833127317701</v>
      </c>
      <c r="K39" s="10" t="s">
        <v>493</v>
      </c>
    </row>
    <row r="40" spans="1:11" x14ac:dyDescent="0.25">
      <c r="A40" s="10" t="s">
        <v>184</v>
      </c>
      <c r="B40" s="8">
        <v>33.335348859604103</v>
      </c>
      <c r="C40" s="8"/>
      <c r="D40" s="10" t="s">
        <v>503</v>
      </c>
      <c r="E40" s="8">
        <v>10.097628417304101</v>
      </c>
      <c r="F40" s="8"/>
      <c r="G40" s="10" t="s">
        <v>503</v>
      </c>
      <c r="H40" s="8">
        <v>173.037190082644</v>
      </c>
      <c r="I40" s="10" t="s">
        <v>493</v>
      </c>
      <c r="J40" s="8">
        <v>193.272727272727</v>
      </c>
      <c r="K40" s="10" t="s">
        <v>493</v>
      </c>
    </row>
    <row r="41" spans="1:11" x14ac:dyDescent="0.25">
      <c r="A41" s="10" t="s">
        <v>522</v>
      </c>
      <c r="B41" s="8">
        <v>-26.037420147301301</v>
      </c>
      <c r="C41" s="8"/>
      <c r="D41" s="10" t="s">
        <v>500</v>
      </c>
      <c r="E41" s="8">
        <v>-33.4406159242724</v>
      </c>
      <c r="F41" s="8"/>
      <c r="G41" s="10" t="s">
        <v>493</v>
      </c>
      <c r="H41" s="8">
        <v>218.09355692850801</v>
      </c>
      <c r="I41" s="10" t="s">
        <v>493</v>
      </c>
      <c r="J41" s="8">
        <v>208.60335195530701</v>
      </c>
      <c r="K41" s="10" t="s">
        <v>493</v>
      </c>
    </row>
    <row r="42" spans="1:11" x14ac:dyDescent="0.25">
      <c r="A42" s="15" t="s">
        <v>523</v>
      </c>
      <c r="B42" s="16">
        <v>10.4615544616983</v>
      </c>
      <c r="C42" s="16"/>
      <c r="D42" s="17" t="s">
        <v>493</v>
      </c>
      <c r="E42" s="16">
        <v>6.4329211916000402</v>
      </c>
      <c r="F42" s="16"/>
      <c r="G42" s="17" t="s">
        <v>493</v>
      </c>
      <c r="H42" s="16">
        <v>300.43590627153702</v>
      </c>
      <c r="I42" s="17" t="s">
        <v>493</v>
      </c>
      <c r="J42" s="16">
        <v>256.584379242512</v>
      </c>
      <c r="K42" s="17" t="s">
        <v>493</v>
      </c>
    </row>
    <row r="43" spans="1:11" x14ac:dyDescent="0.25">
      <c r="A43" s="17" t="s">
        <v>199</v>
      </c>
      <c r="B43" s="16">
        <v>1.06210036420364</v>
      </c>
      <c r="C43" s="16"/>
      <c r="D43" s="17" t="s">
        <v>493</v>
      </c>
      <c r="E43" s="16">
        <v>0.78651880779636496</v>
      </c>
      <c r="F43" s="16"/>
      <c r="G43" s="17" t="s">
        <v>493</v>
      </c>
      <c r="H43" s="16">
        <v>383.47798807905502</v>
      </c>
      <c r="I43" s="17" t="s">
        <v>493</v>
      </c>
      <c r="J43" s="16">
        <v>276.13024757804101</v>
      </c>
      <c r="K43" s="17" t="s">
        <v>493</v>
      </c>
    </row>
    <row r="44" spans="1:11" x14ac:dyDescent="0.25">
      <c r="A44" s="17" t="s">
        <v>204</v>
      </c>
      <c r="B44" s="16">
        <v>18.710486021127402</v>
      </c>
      <c r="C44" s="16"/>
      <c r="D44" s="17" t="s">
        <v>493</v>
      </c>
      <c r="E44" s="16">
        <v>13.7854906742868</v>
      </c>
      <c r="F44" s="16"/>
      <c r="G44" s="17" t="s">
        <v>493</v>
      </c>
      <c r="H44" s="16">
        <v>395.784242320381</v>
      </c>
      <c r="I44" s="17" t="s">
        <v>493</v>
      </c>
      <c r="J44" s="16">
        <v>312.21564140530398</v>
      </c>
      <c r="K44" s="17" t="s">
        <v>493</v>
      </c>
    </row>
    <row r="45" spans="1:11" x14ac:dyDescent="0.25">
      <c r="A45" s="17" t="s">
        <v>209</v>
      </c>
      <c r="B45" s="16">
        <v>1.31393285478171</v>
      </c>
      <c r="C45" s="16"/>
      <c r="D45" s="17" t="s">
        <v>493</v>
      </c>
      <c r="E45" s="16">
        <v>-4.5573057706761899</v>
      </c>
      <c r="F45" s="16"/>
      <c r="G45" s="17" t="s">
        <v>493</v>
      </c>
      <c r="H45" s="16">
        <v>186.75614164268001</v>
      </c>
      <c r="I45" s="17" t="s">
        <v>493</v>
      </c>
      <c r="J45" s="16">
        <v>181.80795642907901</v>
      </c>
      <c r="K45" s="17" t="s">
        <v>493</v>
      </c>
    </row>
    <row r="46" spans="1:11" x14ac:dyDescent="0.25">
      <c r="A46" s="4" t="s">
        <v>214</v>
      </c>
      <c r="B46" s="8">
        <v>36.245748769369399</v>
      </c>
      <c r="C46" s="8"/>
      <c r="D46" s="10" t="s">
        <v>493</v>
      </c>
      <c r="E46" s="8">
        <v>28.226257453329701</v>
      </c>
      <c r="F46" s="8"/>
      <c r="G46" s="10" t="s">
        <v>493</v>
      </c>
      <c r="H46" s="8">
        <v>388.37201434467801</v>
      </c>
      <c r="I46" s="10" t="s">
        <v>493</v>
      </c>
      <c r="J46" s="8">
        <v>295.54714259960298</v>
      </c>
      <c r="K46" s="10" t="s">
        <v>493</v>
      </c>
    </row>
    <row r="47" spans="1:11" x14ac:dyDescent="0.25">
      <c r="A47" s="10" t="s">
        <v>219</v>
      </c>
      <c r="B47" s="8">
        <v>38.929382815127802</v>
      </c>
      <c r="C47" s="8"/>
      <c r="D47" s="10" t="s">
        <v>493</v>
      </c>
      <c r="E47" s="8">
        <v>24.405841356783998</v>
      </c>
      <c r="F47" s="8"/>
      <c r="G47" s="10" t="s">
        <v>493</v>
      </c>
      <c r="H47" s="8">
        <v>380.09284543964998</v>
      </c>
      <c r="I47" s="10" t="s">
        <v>493</v>
      </c>
      <c r="J47" s="8">
        <v>270.72563331902097</v>
      </c>
      <c r="K47" s="10" t="s">
        <v>493</v>
      </c>
    </row>
    <row r="48" spans="1:11" x14ac:dyDescent="0.25">
      <c r="A48" s="10" t="s">
        <v>524</v>
      </c>
      <c r="B48" s="8">
        <v>62.654671832342501</v>
      </c>
      <c r="C48" s="8"/>
      <c r="D48" s="10" t="s">
        <v>493</v>
      </c>
      <c r="E48" s="8">
        <v>53.809461128750499</v>
      </c>
      <c r="F48" s="8"/>
      <c r="G48" s="10" t="s">
        <v>493</v>
      </c>
      <c r="H48" s="8">
        <v>508.91235688906397</v>
      </c>
      <c r="I48" s="10" t="s">
        <v>493</v>
      </c>
      <c r="J48" s="8">
        <v>420.64888248017297</v>
      </c>
      <c r="K48" s="10" t="s">
        <v>493</v>
      </c>
    </row>
    <row r="49" spans="1:11" x14ac:dyDescent="0.25">
      <c r="A49" s="10" t="s">
        <v>229</v>
      </c>
      <c r="B49" s="8">
        <v>35.422795063415599</v>
      </c>
      <c r="C49" s="8"/>
      <c r="D49" s="10" t="s">
        <v>493</v>
      </c>
      <c r="E49" s="8">
        <v>23.183439035734501</v>
      </c>
      <c r="F49" s="8"/>
      <c r="G49" s="10" t="s">
        <v>493</v>
      </c>
      <c r="H49" s="8">
        <v>374.72283813747202</v>
      </c>
      <c r="I49" s="10" t="s">
        <v>493</v>
      </c>
      <c r="J49" s="8">
        <v>258.00625217089299</v>
      </c>
      <c r="K49" s="10" t="s">
        <v>493</v>
      </c>
    </row>
    <row r="50" spans="1:11" x14ac:dyDescent="0.25">
      <c r="A50" s="10" t="s">
        <v>234</v>
      </c>
      <c r="B50" s="8">
        <v>26.5979538362851</v>
      </c>
      <c r="C50" s="8"/>
      <c r="D50" s="10" t="s">
        <v>525</v>
      </c>
      <c r="E50" s="8">
        <v>14.8575492970807</v>
      </c>
      <c r="F50" s="8"/>
      <c r="G50" s="10" t="s">
        <v>525</v>
      </c>
      <c r="H50" s="8">
        <v>420.91194968553401</v>
      </c>
      <c r="I50" s="10" t="s">
        <v>493</v>
      </c>
      <c r="J50" s="8">
        <v>288.21630347054099</v>
      </c>
      <c r="K50" s="10" t="s">
        <v>493</v>
      </c>
    </row>
    <row r="51" spans="1:11" x14ac:dyDescent="0.25">
      <c r="A51" s="10" t="s">
        <v>239</v>
      </c>
      <c r="B51" s="8">
        <v>-5.8230625458181704</v>
      </c>
      <c r="C51" s="8"/>
      <c r="D51" s="10" t="s">
        <v>500</v>
      </c>
      <c r="E51" s="8">
        <v>-0.34149098975880898</v>
      </c>
      <c r="F51" s="8"/>
      <c r="G51" s="10" t="s">
        <v>503</v>
      </c>
      <c r="H51" s="8">
        <v>326.576834862385</v>
      </c>
      <c r="I51" s="10" t="s">
        <v>493</v>
      </c>
      <c r="J51" s="8">
        <v>210.70544554455401</v>
      </c>
      <c r="K51" s="10" t="s">
        <v>493</v>
      </c>
    </row>
    <row r="52" spans="1:11" x14ac:dyDescent="0.25">
      <c r="A52" s="10" t="s">
        <v>526</v>
      </c>
      <c r="B52" s="8">
        <v>24.801611209612101</v>
      </c>
      <c r="C52" s="8"/>
      <c r="D52" s="10" t="s">
        <v>493</v>
      </c>
      <c r="E52" s="8">
        <v>32.293440510786098</v>
      </c>
      <c r="F52" s="8"/>
      <c r="G52" s="10" t="s">
        <v>493</v>
      </c>
      <c r="H52" s="8">
        <v>219.84511132623399</v>
      </c>
      <c r="I52" s="10" t="s">
        <v>493</v>
      </c>
      <c r="J52" s="8">
        <v>194.23286180631101</v>
      </c>
      <c r="K52" s="10" t="s">
        <v>493</v>
      </c>
    </row>
    <row r="53" spans="1:11" x14ac:dyDescent="0.25">
      <c r="A53" s="10" t="s">
        <v>249</v>
      </c>
      <c r="B53" s="8">
        <v>-9.7224723095603807</v>
      </c>
      <c r="C53" s="8"/>
      <c r="D53" s="10" t="s">
        <v>503</v>
      </c>
      <c r="E53" s="8">
        <v>-5.5776988159042</v>
      </c>
      <c r="F53" s="8"/>
      <c r="G53" s="10" t="s">
        <v>503</v>
      </c>
      <c r="H53" s="8">
        <v>176.29541393686699</v>
      </c>
      <c r="I53" s="10" t="s">
        <v>493</v>
      </c>
      <c r="J53" s="8">
        <v>147.04944178628401</v>
      </c>
      <c r="K53" s="10" t="s">
        <v>493</v>
      </c>
    </row>
    <row r="54" spans="1:11" x14ac:dyDescent="0.25">
      <c r="A54" s="4" t="s">
        <v>527</v>
      </c>
      <c r="B54" s="8">
        <v>-60.356850965365702</v>
      </c>
      <c r="C54" s="8"/>
      <c r="D54" s="10" t="s">
        <v>493</v>
      </c>
      <c r="E54" s="8">
        <v>-62.140820243377902</v>
      </c>
      <c r="F54" s="8"/>
      <c r="G54" s="10" t="s">
        <v>493</v>
      </c>
      <c r="H54" s="8">
        <v>70.529801324503296</v>
      </c>
      <c r="I54" s="10"/>
      <c r="J54" s="8">
        <v>95.1388888888889</v>
      </c>
      <c r="K54" s="10"/>
    </row>
    <row r="55" spans="1:11" x14ac:dyDescent="0.25">
      <c r="A55" s="4" t="s">
        <v>259</v>
      </c>
      <c r="B55" s="8">
        <v>-2.5793862640463598</v>
      </c>
      <c r="C55" s="8"/>
      <c r="D55" s="10" t="s">
        <v>493</v>
      </c>
      <c r="E55" s="8">
        <v>-8.8530091751806008</v>
      </c>
      <c r="F55" s="8"/>
      <c r="G55" s="10" t="s">
        <v>493</v>
      </c>
      <c r="H55" s="8">
        <v>461.58495634654099</v>
      </c>
      <c r="I55" s="10" t="s">
        <v>493</v>
      </c>
      <c r="J55" s="8">
        <v>433.353651103255</v>
      </c>
      <c r="K55" s="10" t="s">
        <v>493</v>
      </c>
    </row>
    <row r="56" spans="1:11" x14ac:dyDescent="0.25">
      <c r="A56" s="4" t="s">
        <v>264</v>
      </c>
      <c r="B56" s="8">
        <v>1.38121940739991</v>
      </c>
      <c r="C56" s="8"/>
      <c r="D56" s="10" t="s">
        <v>493</v>
      </c>
      <c r="E56" s="8">
        <v>-8.0575578766962206</v>
      </c>
      <c r="F56" s="8"/>
      <c r="G56" s="10" t="s">
        <v>493</v>
      </c>
      <c r="H56" s="8">
        <v>260.60012933821901</v>
      </c>
      <c r="I56" s="10" t="s">
        <v>493</v>
      </c>
      <c r="J56" s="8">
        <v>194.606279330435</v>
      </c>
      <c r="K56" s="10" t="s">
        <v>493</v>
      </c>
    </row>
    <row r="57" spans="1:11" x14ac:dyDescent="0.25">
      <c r="A57" s="4" t="s">
        <v>528</v>
      </c>
      <c r="B57" s="8">
        <v>-86.147876906661494</v>
      </c>
      <c r="C57" s="8"/>
      <c r="D57" s="10" t="s">
        <v>503</v>
      </c>
      <c r="E57" s="8">
        <v>-85.030981900780006</v>
      </c>
      <c r="F57" s="8"/>
      <c r="G57" s="10" t="s">
        <v>525</v>
      </c>
      <c r="H57" s="8">
        <v>95.378151260504197</v>
      </c>
      <c r="I57" s="10"/>
      <c r="J57" s="8">
        <v>14.030612244898</v>
      </c>
      <c r="K57" s="10"/>
    </row>
    <row r="58" spans="1:11" x14ac:dyDescent="0.25">
      <c r="D58" s="10"/>
    </row>
  </sheetData>
  <mergeCells count="4">
    <mergeCell ref="B3:G3"/>
    <mergeCell ref="H3:K3"/>
    <mergeCell ref="A2:K2"/>
    <mergeCell ref="A1:K1"/>
  </mergeCells>
  <phoneticPr fontId="1" type="noConversion"/>
  <conditionalFormatting sqref="E5:F57">
    <cfRule type="top10" dxfId="7" priority="5" bottom="1" rank="5"/>
    <cfRule type="top10" dxfId="6" priority="6" rank="5"/>
  </conditionalFormatting>
  <conditionalFormatting sqref="H5:H57">
    <cfRule type="top10" dxfId="5" priority="3" bottom="1" rank="5"/>
    <cfRule type="top10" dxfId="4" priority="4" rank="5"/>
  </conditionalFormatting>
  <conditionalFormatting sqref="J5:J57">
    <cfRule type="top10" dxfId="3" priority="1" bottom="1" rank="5"/>
    <cfRule type="top10" dxfId="2" priority="2" rank="5"/>
  </conditionalFormatting>
  <conditionalFormatting sqref="B5:D57 D58">
    <cfRule type="top10" dxfId="1" priority="7" bottom="1" rank="5"/>
    <cfRule type="top10" dxfId="0" priority="8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Diff-TT</vt:lpstr>
      <vt:lpstr>Diff-MC</vt:lpstr>
      <vt:lpstr>Diff-ALL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2025-09-29T17:13:50Z</dcterms:modified>
</cp:coreProperties>
</file>