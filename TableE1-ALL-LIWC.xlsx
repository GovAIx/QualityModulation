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E:\03博士文件\Paper\FakeNews\TextFeature\sup_for_5_MCFEND_Puls3\"/>
    </mc:Choice>
  </mc:AlternateContent>
  <xr:revisionPtr revIDLastSave="0" documentId="13_ncr:1_{9FA1C52A-C24A-4B5C-B0E7-0568565210DD}" xr6:coauthVersionLast="47" xr6:coauthVersionMax="47" xr10:uidLastSave="{00000000-0000-0000-0000-000000000000}"/>
  <bookViews>
    <workbookView xWindow="-108" yWindow="-108" windowWidth="30936" windowHeight="16776" activeTab="5" xr2:uid="{00000000-000D-0000-FFFF-FFFF00000000}"/>
  </bookViews>
  <sheets>
    <sheet name="BASE" sheetId="5" r:id="rId1"/>
    <sheet name="DEV" sheetId="6" r:id="rId2"/>
    <sheet name="HBD" sheetId="7" r:id="rId3"/>
    <sheet name="Sheet1" sheetId="1" r:id="rId4"/>
    <sheet name="delete" sheetId="9" r:id="rId5"/>
    <sheet name="ALL_Done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5" i="7" l="1"/>
  <c r="Y55" i="7" s="1"/>
  <c r="K55" i="7"/>
  <c r="L55" i="7" s="1"/>
  <c r="X54" i="7"/>
  <c r="Y54" i="7" s="1"/>
  <c r="K54" i="7"/>
  <c r="L54" i="7" s="1"/>
  <c r="X53" i="7"/>
  <c r="Y53" i="7" s="1"/>
  <c r="K53" i="7"/>
  <c r="L53" i="7" s="1"/>
  <c r="X52" i="7"/>
  <c r="Y52" i="7" s="1"/>
  <c r="K52" i="7"/>
  <c r="L52" i="7" s="1"/>
  <c r="X51" i="7"/>
  <c r="Y51" i="7" s="1"/>
  <c r="K51" i="7"/>
  <c r="L51" i="7" s="1"/>
  <c r="X50" i="7"/>
  <c r="Y50" i="7" s="1"/>
  <c r="K50" i="7"/>
  <c r="L50" i="7" s="1"/>
  <c r="Y49" i="7"/>
  <c r="X49" i="7"/>
  <c r="K49" i="7"/>
  <c r="L49" i="7" s="1"/>
  <c r="X48" i="7"/>
  <c r="Y48" i="7" s="1"/>
  <c r="K48" i="7"/>
  <c r="L48" i="7" s="1"/>
  <c r="X47" i="7"/>
  <c r="Y47" i="7" s="1"/>
  <c r="K47" i="7"/>
  <c r="L47" i="7" s="1"/>
  <c r="X46" i="7"/>
  <c r="Y46" i="7" s="1"/>
  <c r="K46" i="7"/>
  <c r="L46" i="7" s="1"/>
  <c r="X45" i="7"/>
  <c r="Y45" i="7" s="1"/>
  <c r="K45" i="7"/>
  <c r="L45" i="7" s="1"/>
  <c r="Y44" i="7"/>
  <c r="X44" i="7"/>
  <c r="K44" i="7"/>
  <c r="L44" i="7" s="1"/>
  <c r="X43" i="7"/>
  <c r="Y43" i="7" s="1"/>
  <c r="K43" i="7"/>
  <c r="L43" i="7" s="1"/>
  <c r="X42" i="7"/>
  <c r="Y42" i="7" s="1"/>
  <c r="K42" i="7"/>
  <c r="L42" i="7" s="1"/>
  <c r="Y41" i="7"/>
  <c r="X41" i="7"/>
  <c r="K41" i="7"/>
  <c r="L41" i="7" s="1"/>
  <c r="Y40" i="7"/>
  <c r="X40" i="7"/>
  <c r="K40" i="7"/>
  <c r="L40" i="7" s="1"/>
  <c r="X39" i="7"/>
  <c r="Y39" i="7" s="1"/>
  <c r="K39" i="7"/>
  <c r="L39" i="7" s="1"/>
  <c r="Y38" i="7"/>
  <c r="X38" i="7"/>
  <c r="K38" i="7"/>
  <c r="L38" i="7" s="1"/>
  <c r="X37" i="7"/>
  <c r="Y37" i="7" s="1"/>
  <c r="K37" i="7"/>
  <c r="L37" i="7" s="1"/>
  <c r="X36" i="7"/>
  <c r="Y36" i="7" s="1"/>
  <c r="K36" i="7"/>
  <c r="L36" i="7" s="1"/>
  <c r="X35" i="7"/>
  <c r="Y35" i="7" s="1"/>
  <c r="K35" i="7"/>
  <c r="L35" i="7" s="1"/>
  <c r="Y34" i="7"/>
  <c r="X34" i="7"/>
  <c r="K34" i="7"/>
  <c r="L34" i="7" s="1"/>
  <c r="X33" i="7"/>
  <c r="Y33" i="7" s="1"/>
  <c r="K33" i="7"/>
  <c r="L33" i="7" s="1"/>
  <c r="Y32" i="7"/>
  <c r="X32" i="7"/>
  <c r="K32" i="7"/>
  <c r="L32" i="7" s="1"/>
  <c r="X31" i="7"/>
  <c r="Y31" i="7" s="1"/>
  <c r="K31" i="7"/>
  <c r="L31" i="7" s="1"/>
  <c r="X30" i="7"/>
  <c r="Y30" i="7" s="1"/>
  <c r="K30" i="7"/>
  <c r="L30" i="7" s="1"/>
  <c r="X29" i="7"/>
  <c r="Y29" i="7" s="1"/>
  <c r="K29" i="7"/>
  <c r="L29" i="7" s="1"/>
  <c r="X28" i="7"/>
  <c r="Y28" i="7" s="1"/>
  <c r="K28" i="7"/>
  <c r="L28" i="7" s="1"/>
  <c r="X27" i="7"/>
  <c r="Y27" i="7" s="1"/>
  <c r="K27" i="7"/>
  <c r="L27" i="7" s="1"/>
  <c r="Y26" i="7"/>
  <c r="X26" i="7"/>
  <c r="K26" i="7"/>
  <c r="L26" i="7" s="1"/>
  <c r="X25" i="7"/>
  <c r="Y25" i="7" s="1"/>
  <c r="K25" i="7"/>
  <c r="L25" i="7" s="1"/>
  <c r="X24" i="7"/>
  <c r="Y24" i="7" s="1"/>
  <c r="K24" i="7"/>
  <c r="L24" i="7" s="1"/>
  <c r="X23" i="7"/>
  <c r="Y23" i="7" s="1"/>
  <c r="K23" i="7"/>
  <c r="L23" i="7" s="1"/>
  <c r="X22" i="7"/>
  <c r="Y22" i="7" s="1"/>
  <c r="K22" i="7"/>
  <c r="L22" i="7" s="1"/>
  <c r="X21" i="7"/>
  <c r="Y21" i="7" s="1"/>
  <c r="K21" i="7"/>
  <c r="L21" i="7" s="1"/>
  <c r="X20" i="7"/>
  <c r="Y20" i="7" s="1"/>
  <c r="K20" i="7"/>
  <c r="L20" i="7" s="1"/>
  <c r="X19" i="7"/>
  <c r="Y19" i="7" s="1"/>
  <c r="K19" i="7"/>
  <c r="L19" i="7" s="1"/>
  <c r="X18" i="7"/>
  <c r="Y18" i="7" s="1"/>
  <c r="K18" i="7"/>
  <c r="L18" i="7" s="1"/>
  <c r="X17" i="7"/>
  <c r="Y17" i="7" s="1"/>
  <c r="K17" i="7"/>
  <c r="L17" i="7" s="1"/>
  <c r="X16" i="7"/>
  <c r="Y16" i="7" s="1"/>
  <c r="K16" i="7"/>
  <c r="L16" i="7" s="1"/>
  <c r="X15" i="7"/>
  <c r="Y15" i="7" s="1"/>
  <c r="K15" i="7"/>
  <c r="L15" i="7" s="1"/>
  <c r="Y14" i="7"/>
  <c r="X14" i="7"/>
  <c r="K14" i="7"/>
  <c r="L14" i="7" s="1"/>
  <c r="X13" i="7"/>
  <c r="Y13" i="7" s="1"/>
  <c r="K13" i="7"/>
  <c r="L13" i="7" s="1"/>
  <c r="X12" i="7"/>
  <c r="Y12" i="7" s="1"/>
  <c r="K12" i="7"/>
  <c r="L12" i="7" s="1"/>
  <c r="X11" i="7"/>
  <c r="Y11" i="7" s="1"/>
  <c r="K11" i="7"/>
  <c r="L11" i="7" s="1"/>
  <c r="X10" i="7"/>
  <c r="Y10" i="7" s="1"/>
  <c r="K10" i="7"/>
  <c r="L10" i="7" s="1"/>
  <c r="Y9" i="7"/>
  <c r="X9" i="7"/>
  <c r="K9" i="7"/>
  <c r="L9" i="7" s="1"/>
  <c r="X8" i="7"/>
  <c r="Y8" i="7" s="1"/>
  <c r="K8" i="7"/>
  <c r="L8" i="7" s="1"/>
  <c r="X7" i="7"/>
  <c r="Y7" i="7" s="1"/>
  <c r="K7" i="7"/>
  <c r="L7" i="7" s="1"/>
  <c r="X6" i="7"/>
  <c r="Y6" i="7" s="1"/>
  <c r="K6" i="7"/>
  <c r="L6" i="7" s="1"/>
  <c r="Y5" i="7"/>
  <c r="X5" i="7"/>
  <c r="K5" i="7"/>
  <c r="L5" i="7" s="1"/>
  <c r="X4" i="7"/>
  <c r="Y4" i="7" s="1"/>
  <c r="K4" i="7"/>
  <c r="L4" i="7" s="1"/>
  <c r="X3" i="7"/>
  <c r="Y3" i="7" s="1"/>
  <c r="K3" i="7"/>
  <c r="L3" i="7" s="1"/>
  <c r="X3" i="6"/>
  <c r="X55" i="6"/>
  <c r="Y55" i="6" s="1"/>
  <c r="K55" i="6"/>
  <c r="L55" i="6" s="1"/>
  <c r="X54" i="6"/>
  <c r="Y54" i="6" s="1"/>
  <c r="K54" i="6"/>
  <c r="L54" i="6" s="1"/>
  <c r="X53" i="6"/>
  <c r="Y53" i="6" s="1"/>
  <c r="K53" i="6"/>
  <c r="L53" i="6" s="1"/>
  <c r="X52" i="6"/>
  <c r="Y52" i="6" s="1"/>
  <c r="K52" i="6"/>
  <c r="L52" i="6" s="1"/>
  <c r="X51" i="6"/>
  <c r="Y51" i="6" s="1"/>
  <c r="K51" i="6"/>
  <c r="L51" i="6" s="1"/>
  <c r="X50" i="6"/>
  <c r="Y50" i="6" s="1"/>
  <c r="K50" i="6"/>
  <c r="L50" i="6" s="1"/>
  <c r="X49" i="6"/>
  <c r="Y49" i="6" s="1"/>
  <c r="K49" i="6"/>
  <c r="L49" i="6" s="1"/>
  <c r="Y48" i="6"/>
  <c r="X48" i="6"/>
  <c r="K48" i="6"/>
  <c r="L48" i="6" s="1"/>
  <c r="X47" i="6"/>
  <c r="Y47" i="6" s="1"/>
  <c r="K47" i="6"/>
  <c r="L47" i="6" s="1"/>
  <c r="X46" i="6"/>
  <c r="Y46" i="6" s="1"/>
  <c r="K46" i="6"/>
  <c r="L46" i="6" s="1"/>
  <c r="X45" i="6"/>
  <c r="Y45" i="6" s="1"/>
  <c r="K45" i="6"/>
  <c r="L45" i="6" s="1"/>
  <c r="X44" i="6"/>
  <c r="Y44" i="6" s="1"/>
  <c r="K44" i="6"/>
  <c r="L44" i="6" s="1"/>
  <c r="X43" i="6"/>
  <c r="Y43" i="6" s="1"/>
  <c r="K43" i="6"/>
  <c r="L43" i="6" s="1"/>
  <c r="X42" i="6"/>
  <c r="Y42" i="6" s="1"/>
  <c r="K42" i="6"/>
  <c r="L42" i="6" s="1"/>
  <c r="X41" i="6"/>
  <c r="Y41" i="6" s="1"/>
  <c r="K41" i="6"/>
  <c r="L41" i="6" s="1"/>
  <c r="X40" i="6"/>
  <c r="Y40" i="6" s="1"/>
  <c r="K40" i="6"/>
  <c r="L40" i="6" s="1"/>
  <c r="X39" i="6"/>
  <c r="Y39" i="6" s="1"/>
  <c r="K39" i="6"/>
  <c r="L39" i="6" s="1"/>
  <c r="X38" i="6"/>
  <c r="Y38" i="6" s="1"/>
  <c r="K38" i="6"/>
  <c r="L38" i="6" s="1"/>
  <c r="X37" i="6"/>
  <c r="Y37" i="6" s="1"/>
  <c r="K37" i="6"/>
  <c r="L37" i="6" s="1"/>
  <c r="X36" i="6"/>
  <c r="Y36" i="6" s="1"/>
  <c r="K36" i="6"/>
  <c r="L36" i="6" s="1"/>
  <c r="X35" i="6"/>
  <c r="Y35" i="6" s="1"/>
  <c r="K35" i="6"/>
  <c r="L35" i="6" s="1"/>
  <c r="X34" i="6"/>
  <c r="Y34" i="6" s="1"/>
  <c r="K34" i="6"/>
  <c r="L34" i="6" s="1"/>
  <c r="X33" i="6"/>
  <c r="Y33" i="6" s="1"/>
  <c r="K33" i="6"/>
  <c r="L33" i="6" s="1"/>
  <c r="X32" i="6"/>
  <c r="Y32" i="6" s="1"/>
  <c r="K32" i="6"/>
  <c r="L32" i="6" s="1"/>
  <c r="X31" i="6"/>
  <c r="Y31" i="6" s="1"/>
  <c r="K31" i="6"/>
  <c r="L31" i="6" s="1"/>
  <c r="X30" i="6"/>
  <c r="Y30" i="6" s="1"/>
  <c r="K30" i="6"/>
  <c r="L30" i="6" s="1"/>
  <c r="X29" i="6"/>
  <c r="Y29" i="6" s="1"/>
  <c r="K29" i="6"/>
  <c r="L29" i="6" s="1"/>
  <c r="X28" i="6"/>
  <c r="Y28" i="6" s="1"/>
  <c r="K28" i="6"/>
  <c r="L28" i="6" s="1"/>
  <c r="X27" i="6"/>
  <c r="Y27" i="6" s="1"/>
  <c r="K27" i="6"/>
  <c r="L27" i="6" s="1"/>
  <c r="X26" i="6"/>
  <c r="Y26" i="6" s="1"/>
  <c r="K26" i="6"/>
  <c r="L26" i="6" s="1"/>
  <c r="X25" i="6"/>
  <c r="Y25" i="6" s="1"/>
  <c r="K25" i="6"/>
  <c r="L25" i="6" s="1"/>
  <c r="X24" i="6"/>
  <c r="Y24" i="6" s="1"/>
  <c r="K24" i="6"/>
  <c r="L24" i="6" s="1"/>
  <c r="X23" i="6"/>
  <c r="Y23" i="6" s="1"/>
  <c r="K23" i="6"/>
  <c r="L23" i="6" s="1"/>
  <c r="X22" i="6"/>
  <c r="Y22" i="6" s="1"/>
  <c r="K22" i="6"/>
  <c r="L22" i="6" s="1"/>
  <c r="X21" i="6"/>
  <c r="Y21" i="6" s="1"/>
  <c r="K21" i="6"/>
  <c r="L21" i="6" s="1"/>
  <c r="X20" i="6"/>
  <c r="Y20" i="6" s="1"/>
  <c r="K20" i="6"/>
  <c r="L20" i="6" s="1"/>
  <c r="X19" i="6"/>
  <c r="Y19" i="6" s="1"/>
  <c r="K19" i="6"/>
  <c r="L19" i="6" s="1"/>
  <c r="X18" i="6"/>
  <c r="Y18" i="6" s="1"/>
  <c r="K18" i="6"/>
  <c r="L18" i="6" s="1"/>
  <c r="X17" i="6"/>
  <c r="Y17" i="6" s="1"/>
  <c r="K17" i="6"/>
  <c r="L17" i="6" s="1"/>
  <c r="X16" i="6"/>
  <c r="Y16" i="6" s="1"/>
  <c r="K16" i="6"/>
  <c r="L16" i="6" s="1"/>
  <c r="X15" i="6"/>
  <c r="Y15" i="6" s="1"/>
  <c r="K15" i="6"/>
  <c r="L15" i="6" s="1"/>
  <c r="X14" i="6"/>
  <c r="Y14" i="6" s="1"/>
  <c r="K14" i="6"/>
  <c r="L14" i="6" s="1"/>
  <c r="X13" i="6"/>
  <c r="Y13" i="6" s="1"/>
  <c r="K13" i="6"/>
  <c r="L13" i="6" s="1"/>
  <c r="X12" i="6"/>
  <c r="Y12" i="6" s="1"/>
  <c r="K12" i="6"/>
  <c r="L12" i="6" s="1"/>
  <c r="X11" i="6"/>
  <c r="Y11" i="6" s="1"/>
  <c r="K11" i="6"/>
  <c r="L11" i="6" s="1"/>
  <c r="X10" i="6"/>
  <c r="Y10" i="6" s="1"/>
  <c r="K10" i="6"/>
  <c r="L10" i="6" s="1"/>
  <c r="X9" i="6"/>
  <c r="Y9" i="6" s="1"/>
  <c r="K9" i="6"/>
  <c r="L9" i="6" s="1"/>
  <c r="X8" i="6"/>
  <c r="Y8" i="6" s="1"/>
  <c r="K8" i="6"/>
  <c r="L8" i="6" s="1"/>
  <c r="X7" i="6"/>
  <c r="Y7" i="6" s="1"/>
  <c r="K7" i="6"/>
  <c r="L7" i="6" s="1"/>
  <c r="X6" i="6"/>
  <c r="Y6" i="6" s="1"/>
  <c r="K6" i="6"/>
  <c r="L6" i="6" s="1"/>
  <c r="X5" i="6"/>
  <c r="Y5" i="6" s="1"/>
  <c r="K5" i="6"/>
  <c r="L5" i="6" s="1"/>
  <c r="X4" i="6"/>
  <c r="Y4" i="6" s="1"/>
  <c r="K4" i="6"/>
  <c r="L4" i="6" s="1"/>
  <c r="Y3" i="6"/>
  <c r="K3" i="6"/>
  <c r="L3" i="6" s="1"/>
  <c r="X4" i="5"/>
  <c r="Y4" i="5" s="1"/>
  <c r="X5" i="5"/>
  <c r="Y5" i="5" s="1"/>
  <c r="X6" i="5"/>
  <c r="Y6" i="5" s="1"/>
  <c r="X7" i="5"/>
  <c r="Y7" i="5" s="1"/>
  <c r="X8" i="5"/>
  <c r="Y8" i="5" s="1"/>
  <c r="X9" i="5"/>
  <c r="Y9" i="5" s="1"/>
  <c r="X10" i="5"/>
  <c r="Y10" i="5" s="1"/>
  <c r="X11" i="5"/>
  <c r="Y11" i="5" s="1"/>
  <c r="X12" i="5"/>
  <c r="Y12" i="5" s="1"/>
  <c r="X13" i="5"/>
  <c r="Y13" i="5" s="1"/>
  <c r="X14" i="5"/>
  <c r="Y14" i="5" s="1"/>
  <c r="X15" i="5"/>
  <c r="Y15" i="5" s="1"/>
  <c r="X16" i="5"/>
  <c r="Y16" i="5" s="1"/>
  <c r="X17" i="5"/>
  <c r="Y17" i="5" s="1"/>
  <c r="X18" i="5"/>
  <c r="Y18" i="5" s="1"/>
  <c r="X19" i="5"/>
  <c r="Y19" i="5" s="1"/>
  <c r="X20" i="5"/>
  <c r="Y20" i="5" s="1"/>
  <c r="X21" i="5"/>
  <c r="Y21" i="5" s="1"/>
  <c r="X22" i="5"/>
  <c r="Y22" i="5" s="1"/>
  <c r="X23" i="5"/>
  <c r="Y23" i="5" s="1"/>
  <c r="X24" i="5"/>
  <c r="Y24" i="5" s="1"/>
  <c r="X25" i="5"/>
  <c r="Y25" i="5" s="1"/>
  <c r="X26" i="5"/>
  <c r="Y26" i="5" s="1"/>
  <c r="X27" i="5"/>
  <c r="Y27" i="5" s="1"/>
  <c r="X28" i="5"/>
  <c r="Y28" i="5" s="1"/>
  <c r="X29" i="5"/>
  <c r="Y29" i="5" s="1"/>
  <c r="X30" i="5"/>
  <c r="Y30" i="5" s="1"/>
  <c r="X31" i="5"/>
  <c r="Y31" i="5" s="1"/>
  <c r="X32" i="5"/>
  <c r="Y32" i="5" s="1"/>
  <c r="X33" i="5"/>
  <c r="Y33" i="5" s="1"/>
  <c r="X34" i="5"/>
  <c r="Y34" i="5" s="1"/>
  <c r="X35" i="5"/>
  <c r="Y35" i="5" s="1"/>
  <c r="X36" i="5"/>
  <c r="Y36" i="5" s="1"/>
  <c r="X37" i="5"/>
  <c r="Y37" i="5" s="1"/>
  <c r="X38" i="5"/>
  <c r="Y38" i="5" s="1"/>
  <c r="X39" i="5"/>
  <c r="Y39" i="5" s="1"/>
  <c r="X40" i="5"/>
  <c r="Y40" i="5" s="1"/>
  <c r="X41" i="5"/>
  <c r="Y41" i="5" s="1"/>
  <c r="X42" i="5"/>
  <c r="Y42" i="5" s="1"/>
  <c r="X43" i="5"/>
  <c r="Y43" i="5" s="1"/>
  <c r="X44" i="5"/>
  <c r="Y44" i="5" s="1"/>
  <c r="X45" i="5"/>
  <c r="Y45" i="5" s="1"/>
  <c r="X46" i="5"/>
  <c r="Y46" i="5" s="1"/>
  <c r="X47" i="5"/>
  <c r="Y47" i="5" s="1"/>
  <c r="X48" i="5"/>
  <c r="Y48" i="5" s="1"/>
  <c r="X49" i="5"/>
  <c r="Y49" i="5" s="1"/>
  <c r="X50" i="5"/>
  <c r="Y50" i="5" s="1"/>
  <c r="X51" i="5"/>
  <c r="Y51" i="5" s="1"/>
  <c r="X52" i="5"/>
  <c r="Y52" i="5" s="1"/>
  <c r="X53" i="5"/>
  <c r="Y53" i="5" s="1"/>
  <c r="X54" i="5"/>
  <c r="Y54" i="5" s="1"/>
  <c r="X55" i="5"/>
  <c r="Y55" i="5" s="1"/>
  <c r="X3" i="5"/>
  <c r="Y3" i="5" s="1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3" i="5"/>
</calcChain>
</file>

<file path=xl/sharedStrings.xml><?xml version="1.0" encoding="utf-8"?>
<sst xmlns="http://schemas.openxmlformats.org/spreadsheetml/2006/main" count="2341" uniqueCount="517">
  <si>
    <t>MCFEND-based</t>
  </si>
  <si>
    <t>MCFEND-dev</t>
  </si>
  <si>
    <t>MCFEND-hbd</t>
  </si>
  <si>
    <t>Dimension</t>
  </si>
  <si>
    <t>Diff AI&amp;HM_FK</t>
  </si>
  <si>
    <t>K-S P.</t>
  </si>
  <si>
    <t>Diff AI&amp;HM_RL</t>
  </si>
  <si>
    <t>Language Styles</t>
  </si>
  <si>
    <t>***</t>
  </si>
  <si>
    <t>negations</t>
  </si>
  <si>
    <t>quantifier</t>
  </si>
  <si>
    <t>number</t>
  </si>
  <si>
    <t>tense</t>
  </si>
  <si>
    <t>Past</t>
  </si>
  <si>
    <t>Present</t>
  </si>
  <si>
    <t>Future</t>
  </si>
  <si>
    <t>Progressive</t>
  </si>
  <si>
    <t>Social Processes</t>
  </si>
  <si>
    <t>family</t>
  </si>
  <si>
    <t>friend</t>
  </si>
  <si>
    <t>humans</t>
  </si>
  <si>
    <t>Affective Processes</t>
  </si>
  <si>
    <t>positive emotions</t>
  </si>
  <si>
    <t>negative emotions</t>
  </si>
  <si>
    <t>anxiety</t>
  </si>
  <si>
    <t>anger</t>
  </si>
  <si>
    <t>sadness</t>
  </si>
  <si>
    <t>Cognitive Processes</t>
  </si>
  <si>
    <t>insight</t>
  </si>
  <si>
    <t>causation</t>
  </si>
  <si>
    <t>discrepancy</t>
  </si>
  <si>
    <t>tentative</t>
  </si>
  <si>
    <t>certainty</t>
  </si>
  <si>
    <t>inclusive</t>
  </si>
  <si>
    <t>exclusive</t>
  </si>
  <si>
    <t>inhibition</t>
  </si>
  <si>
    <t>Perceptual Processes</t>
  </si>
  <si>
    <t>seeing</t>
  </si>
  <si>
    <t>hearing</t>
  </si>
  <si>
    <t>feeling</t>
  </si>
  <si>
    <t>Biological Processes</t>
  </si>
  <si>
    <t>body</t>
  </si>
  <si>
    <t>health</t>
  </si>
  <si>
    <t>sexual</t>
  </si>
  <si>
    <t>ingesting</t>
  </si>
  <si>
    <t>Relativity</t>
  </si>
  <si>
    <t>motion</t>
  </si>
  <si>
    <t>space</t>
  </si>
  <si>
    <t>time</t>
  </si>
  <si>
    <t>Personal Concerns</t>
  </si>
  <si>
    <t>work</t>
  </si>
  <si>
    <t>achievement</t>
  </si>
  <si>
    <t>leisure</t>
  </si>
  <si>
    <t>home</t>
  </si>
  <si>
    <t>money</t>
  </si>
  <si>
    <t>religion</t>
  </si>
  <si>
    <t>death</t>
  </si>
  <si>
    <t>Swear Word</t>
  </si>
  <si>
    <t>Assent</t>
  </si>
  <si>
    <t>Symbol</t>
  </si>
  <si>
    <t>Emoji</t>
  </si>
  <si>
    <t>均值</t>
  </si>
  <si>
    <t>标准差</t>
  </si>
  <si>
    <t>均值±标准差</t>
  </si>
  <si>
    <t>Funct</t>
  </si>
  <si>
    <t>10.74±6.46</t>
  </si>
  <si>
    <t>negate</t>
  </si>
  <si>
    <t>1.91±1.94</t>
  </si>
  <si>
    <t>quant</t>
  </si>
  <si>
    <t>1.95±2.03</t>
  </si>
  <si>
    <t>3.60±3.71</t>
  </si>
  <si>
    <t>TenseM</t>
  </si>
  <si>
    <t>6.78±4.30</t>
  </si>
  <si>
    <t>PastM</t>
  </si>
  <si>
    <t>0.31±0.70</t>
  </si>
  <si>
    <t>PresentM</t>
  </si>
  <si>
    <t>2.00±1.83</t>
  </si>
  <si>
    <t>FutureM</t>
  </si>
  <si>
    <t>0.99±1.37</t>
  </si>
  <si>
    <t>ProgM</t>
  </si>
  <si>
    <t>3.46±2.83</t>
  </si>
  <si>
    <t>Social</t>
  </si>
  <si>
    <t>9.64±7.54</t>
  </si>
  <si>
    <t>0.62±1.91</t>
  </si>
  <si>
    <t>0.12±0.50</t>
  </si>
  <si>
    <t>2.08±2.55</t>
  </si>
  <si>
    <t>Affect</t>
  </si>
  <si>
    <t>9.31±6.98</t>
  </si>
  <si>
    <t>posemo</t>
  </si>
  <si>
    <t>3.84±3.82</t>
  </si>
  <si>
    <t>negemo</t>
  </si>
  <si>
    <t>3.01±3.42</t>
  </si>
  <si>
    <t>anx</t>
  </si>
  <si>
    <t>0.60±1.08</t>
  </si>
  <si>
    <t>1.05±1.91</t>
  </si>
  <si>
    <t>sad</t>
  </si>
  <si>
    <t>0.58±1.19</t>
  </si>
  <si>
    <t>Cogmech</t>
  </si>
  <si>
    <t>29.97±18.27</t>
  </si>
  <si>
    <t>7.70±5.71</t>
  </si>
  <si>
    <t>cause</t>
  </si>
  <si>
    <t>4.20±3.37</t>
  </si>
  <si>
    <t>discrep</t>
  </si>
  <si>
    <t>2.64±2.91</t>
  </si>
  <si>
    <t>tentat</t>
  </si>
  <si>
    <t>3.01±3.08</t>
  </si>
  <si>
    <t>certain</t>
  </si>
  <si>
    <t>2.11±2.13</t>
  </si>
  <si>
    <t>incl</t>
  </si>
  <si>
    <t>8.11±6.08</t>
  </si>
  <si>
    <t>excl</t>
  </si>
  <si>
    <t>1.27±1.59</t>
  </si>
  <si>
    <t>inhib</t>
  </si>
  <si>
    <t>1.95±2.32</t>
  </si>
  <si>
    <t>Percept</t>
  </si>
  <si>
    <t>1.66±2.13</t>
  </si>
  <si>
    <t>see</t>
  </si>
  <si>
    <t>0.58±1.27</t>
  </si>
  <si>
    <t>hear</t>
  </si>
  <si>
    <t>0.39±0.96</t>
  </si>
  <si>
    <t>feel</t>
  </si>
  <si>
    <t>0.21±0.63</t>
  </si>
  <si>
    <t>Bio</t>
  </si>
  <si>
    <t>1.57±3.33</t>
  </si>
  <si>
    <t>0.38±1.11</t>
  </si>
  <si>
    <t>0.88±2.39</t>
  </si>
  <si>
    <t>0.19±0.80</t>
  </si>
  <si>
    <t>ingest</t>
  </si>
  <si>
    <t>0.23±1.16</t>
  </si>
  <si>
    <t>Relativ</t>
  </si>
  <si>
    <t>18.83±10.46</t>
  </si>
  <si>
    <t>3.63±2.98</t>
  </si>
  <si>
    <t>9.54±6.17</t>
  </si>
  <si>
    <t>6.98±4.56</t>
  </si>
  <si>
    <t>13.20±9.85</t>
  </si>
  <si>
    <t>6.73±6.36</t>
  </si>
  <si>
    <t>achievef</t>
  </si>
  <si>
    <t>5.93±5.28</t>
  </si>
  <si>
    <t>1.15±2.06</t>
  </si>
  <si>
    <t>0.44±1.14</t>
  </si>
  <si>
    <t>1.23±2.49</t>
  </si>
  <si>
    <t>relig</t>
  </si>
  <si>
    <t>0.56±1.98</t>
  </si>
  <si>
    <t>0.39±1.18</t>
  </si>
  <si>
    <t>Swear</t>
  </si>
  <si>
    <t>0.03±0.37</t>
  </si>
  <si>
    <t>5.80±4.59</t>
  </si>
  <si>
    <t>28.72±17.22</t>
  </si>
  <si>
    <t>Biaoqing</t>
  </si>
  <si>
    <t>0.00±0.07</t>
  </si>
  <si>
    <t>AI_FK</t>
    <phoneticPr fontId="5" type="noConversion"/>
  </si>
  <si>
    <t>2.99±3.15</t>
  </si>
  <si>
    <t>0.57±1.02</t>
  </si>
  <si>
    <t>0.52±0.98</t>
  </si>
  <si>
    <t>3.46±3.78</t>
  </si>
  <si>
    <t>1.83±2.09</t>
  </si>
  <si>
    <t>0.18±0.48</t>
  </si>
  <si>
    <t>0.46±0.78</t>
  </si>
  <si>
    <t>0.35±0.70</t>
  </si>
  <si>
    <t>0.84±1.29</t>
  </si>
  <si>
    <t>2.84±3.54</t>
  </si>
  <si>
    <t>0.25±1.02</t>
  </si>
  <si>
    <t>0.07±0.32</t>
  </si>
  <si>
    <t>0.79±1.40</t>
  </si>
  <si>
    <t>2.03±2.31</t>
  </si>
  <si>
    <t>0.76±1.23</t>
  </si>
  <si>
    <t>0.86±1.33</t>
  </si>
  <si>
    <t>0.15±0.45</t>
  </si>
  <si>
    <t>0.30±0.75</t>
  </si>
  <si>
    <t>0.14±0.43</t>
  </si>
  <si>
    <t>6.33±6.13</t>
  </si>
  <si>
    <t>1.63±1.92</t>
  </si>
  <si>
    <t>0.74±1.11</t>
  </si>
  <si>
    <t>0.64±1.15</t>
  </si>
  <si>
    <t>0.70±1.17</t>
  </si>
  <si>
    <t>0.53±0.90</t>
  </si>
  <si>
    <t>1.50±1.89</t>
  </si>
  <si>
    <t>0.56±1.10</t>
  </si>
  <si>
    <t>0.43±0.97</t>
  </si>
  <si>
    <t>0.68±1.09</t>
  </si>
  <si>
    <t>0.31±0.72</t>
  </si>
  <si>
    <t>0.20±0.56</t>
  </si>
  <si>
    <t>0.08±0.33</t>
  </si>
  <si>
    <t>0.68±1.52</t>
  </si>
  <si>
    <t>0.20±0.57</t>
  </si>
  <si>
    <t>0.28±1.01</t>
  </si>
  <si>
    <t>0.10±0.41</t>
  </si>
  <si>
    <t>0.12±0.57</t>
  </si>
  <si>
    <t>6.21±5.09</t>
  </si>
  <si>
    <t>1.02±1.41</t>
  </si>
  <si>
    <t>2.50±2.60</t>
  </si>
  <si>
    <t>3.20±2.96</t>
  </si>
  <si>
    <t>3.17±3.17</t>
  </si>
  <si>
    <t>1.57±2.06</t>
  </si>
  <si>
    <t>1.08±1.49</t>
  </si>
  <si>
    <t>0.34±0.74</t>
  </si>
  <si>
    <t>0.14±0.51</t>
  </si>
  <si>
    <t>0.37±0.99</t>
  </si>
  <si>
    <t>0.22±0.77</t>
  </si>
  <si>
    <t>0.18±0.57</t>
  </si>
  <si>
    <t>0.03±0.32</t>
  </si>
  <si>
    <t>1.59±1.90</t>
  </si>
  <si>
    <t>12.42±11.06</t>
  </si>
  <si>
    <t>0.03±0.26</t>
  </si>
  <si>
    <t>HM_FK</t>
    <phoneticPr fontId="5" type="noConversion"/>
  </si>
  <si>
    <t>10.53±6.39</t>
  </si>
  <si>
    <t>1.77±1.97</t>
  </si>
  <si>
    <t>2.05±2.09</t>
  </si>
  <si>
    <t>3.40±4.54</t>
  </si>
  <si>
    <t>6.61±4.34</t>
  </si>
  <si>
    <t>0.27±0.66</t>
  </si>
  <si>
    <t>1.98±1.82</t>
  </si>
  <si>
    <t>1.18±1.62</t>
  </si>
  <si>
    <t>3.16±2.65</t>
  </si>
  <si>
    <t>8.17±6.78</t>
  </si>
  <si>
    <t>0.61±1.92</t>
  </si>
  <si>
    <t>0.12±0.51</t>
  </si>
  <si>
    <t>1.96±2.60</t>
  </si>
  <si>
    <t>8.51±6.38</t>
  </si>
  <si>
    <t>4.44±4.08</t>
  </si>
  <si>
    <t>2.10±2.87</t>
  </si>
  <si>
    <t>0.43±0.90</t>
  </si>
  <si>
    <t>0.58±1.31</t>
  </si>
  <si>
    <t>0.44±1.05</t>
  </si>
  <si>
    <t>26.32±16.72</t>
  </si>
  <si>
    <t>6.65±4.91</t>
  </si>
  <si>
    <t>3.22±2.87</t>
  </si>
  <si>
    <t>2.52±3.07</t>
  </si>
  <si>
    <t>2.40±2.87</t>
  </si>
  <si>
    <t>1.98±2.09</t>
  </si>
  <si>
    <t>7.07±5.04</t>
  </si>
  <si>
    <t>1.26±1.68</t>
  </si>
  <si>
    <t>1.82±2.42</t>
  </si>
  <si>
    <t>1.94±2.43</t>
  </si>
  <si>
    <t>0.66±1.32</t>
  </si>
  <si>
    <t>0.35±0.96</t>
  </si>
  <si>
    <t>0.33±0.83</t>
  </si>
  <si>
    <t>2.14±4.54</t>
  </si>
  <si>
    <t>0.49±1.47</t>
  </si>
  <si>
    <t>1.20±3.22</t>
  </si>
  <si>
    <t>0.20±0.71</t>
  </si>
  <si>
    <t>0.35±1.53</t>
  </si>
  <si>
    <t>18.16±10.53</t>
  </si>
  <si>
    <t>3.83±3.11</t>
  </si>
  <si>
    <t>8.81±5.99</t>
  </si>
  <si>
    <t>6.79±4.95</t>
  </si>
  <si>
    <t>13.55±10.64</t>
  </si>
  <si>
    <t>6.98±7.09</t>
  </si>
  <si>
    <t>5.79±5.27</t>
  </si>
  <si>
    <t>1.43±2.34</t>
  </si>
  <si>
    <t>0.59±1.47</t>
  </si>
  <si>
    <t>1.57±3.24</t>
  </si>
  <si>
    <t>0.35±1.06</t>
  </si>
  <si>
    <t>0.21±0.79</t>
  </si>
  <si>
    <t>0.02±0.20</t>
  </si>
  <si>
    <t>5.09±3.66</t>
  </si>
  <si>
    <t>29.91±19.51</t>
  </si>
  <si>
    <t>0.03±0.22</t>
  </si>
  <si>
    <t>AI_RL</t>
    <phoneticPr fontId="5" type="noConversion"/>
  </si>
  <si>
    <t>3.55±3.82</t>
  </si>
  <si>
    <t>0.69±1.22</t>
  </si>
  <si>
    <t>0.63±1.12</t>
  </si>
  <si>
    <t>3.24±4.63</t>
  </si>
  <si>
    <t>2.13±2.54</t>
  </si>
  <si>
    <t>0.17±0.47</t>
  </si>
  <si>
    <t>0.57±1.00</t>
  </si>
  <si>
    <t>0.51±1.00</t>
  </si>
  <si>
    <t>0.86±1.32</t>
  </si>
  <si>
    <t>3.00±3.73</t>
  </si>
  <si>
    <t>0.30±0.99</t>
  </si>
  <si>
    <t>0.06±0.30</t>
  </si>
  <si>
    <t>0.82±1.51</t>
  </si>
  <si>
    <t>2.14±2.89</t>
  </si>
  <si>
    <t>0.98±1.64</t>
  </si>
  <si>
    <t>0.74±1.44</t>
  </si>
  <si>
    <t>0.12±0.45</t>
  </si>
  <si>
    <t>0.22±0.69</t>
  </si>
  <si>
    <t>0.13±0.45</t>
  </si>
  <si>
    <t>7.22±8.40</t>
  </si>
  <si>
    <t>1.77±2.27</t>
  </si>
  <si>
    <t>0.75±1.27</t>
  </si>
  <si>
    <t>0.80±1.51</t>
  </si>
  <si>
    <t>0.77±1.42</t>
  </si>
  <si>
    <t>0.56±1.08</t>
  </si>
  <si>
    <t>1.78±2.46</t>
  </si>
  <si>
    <t>0.62±1.21</t>
  </si>
  <si>
    <t>0.55±1.33</t>
  </si>
  <si>
    <t>0.74±1.19</t>
  </si>
  <si>
    <t>0.29±0.70</t>
  </si>
  <si>
    <t>0.23±0.64</t>
  </si>
  <si>
    <t>0.11±0.42</t>
  </si>
  <si>
    <t>0.93±2.07</t>
  </si>
  <si>
    <t>0.23±0.70</t>
  </si>
  <si>
    <t>0.45±1.53</t>
  </si>
  <si>
    <t>0.10±0.45</t>
  </si>
  <si>
    <t>0.17±0.69</t>
  </si>
  <si>
    <t>6.70±7.00</t>
  </si>
  <si>
    <t>1.38±1.95</t>
  </si>
  <si>
    <t>2.76±3.51</t>
  </si>
  <si>
    <t>3.14±3.55</t>
  </si>
  <si>
    <t>4.12±5.31</t>
  </si>
  <si>
    <t>2.16±3.44</t>
  </si>
  <si>
    <t>1.29±2.16</t>
  </si>
  <si>
    <t>0.53±1.37</t>
  </si>
  <si>
    <t>0.23±0.77</t>
  </si>
  <si>
    <t>0.60±1.49</t>
  </si>
  <si>
    <t>0.17±0.61</t>
  </si>
  <si>
    <t>0.03±0.20</t>
  </si>
  <si>
    <t>1.52±2.07</t>
  </si>
  <si>
    <t>15.07±13.11</t>
  </si>
  <si>
    <t>0.07±0.34</t>
  </si>
  <si>
    <t>HM_RL</t>
    <phoneticPr fontId="5" type="noConversion"/>
  </si>
  <si>
    <t>5.40±3.77</t>
  </si>
  <si>
    <t>0.98±1.25</t>
  </si>
  <si>
    <t>0.90±1.26</t>
  </si>
  <si>
    <t>3.34±3.12</t>
  </si>
  <si>
    <t>3.48±2.65</t>
  </si>
  <si>
    <t>0.21±0.52</t>
  </si>
  <si>
    <t>0.97±1.16</t>
  </si>
  <si>
    <t>0.58±0.93</t>
  </si>
  <si>
    <t>1.71±1.76</t>
  </si>
  <si>
    <t>5.06±4.40</t>
  </si>
  <si>
    <t>0.37±1.23</t>
  </si>
  <si>
    <t>0.08±0.35</t>
  </si>
  <si>
    <t>1.18±1.69</t>
  </si>
  <si>
    <t>4.65±3.93</t>
  </si>
  <si>
    <t>1.79±2.21</t>
  </si>
  <si>
    <t>1.66±2.05</t>
  </si>
  <si>
    <t>0.31±0.71</t>
  </si>
  <si>
    <t>0.58±1.14</t>
  </si>
  <si>
    <t>0.30±0.74</t>
  </si>
  <si>
    <t>14.36±9.97</t>
  </si>
  <si>
    <t>3.83±3.33</t>
  </si>
  <si>
    <t>2.15±2.10</t>
  </si>
  <si>
    <t>1.22±1.71</t>
  </si>
  <si>
    <t>1.42±1.83</t>
  </si>
  <si>
    <t>1.02±1.34</t>
  </si>
  <si>
    <t>3.56±3.18</t>
  </si>
  <si>
    <t>0.69±1.05</t>
  </si>
  <si>
    <t>1.01±1.50</t>
  </si>
  <si>
    <t>0.88±1.36</t>
  </si>
  <si>
    <t>0.36±0.90</t>
  </si>
  <si>
    <t>0.19±0.61</t>
  </si>
  <si>
    <t>0.11±0.40</t>
  </si>
  <si>
    <t>0.94±2.12</t>
  </si>
  <si>
    <t>0.22±0.76</t>
  </si>
  <si>
    <t>0.15±0.80</t>
  </si>
  <si>
    <t>10.37±6.12</t>
  </si>
  <si>
    <t>1.86±1.85</t>
  </si>
  <si>
    <t>4.82±3.61</t>
  </si>
  <si>
    <t>4.48±3.23</t>
  </si>
  <si>
    <t>6.92±5.46</t>
  </si>
  <si>
    <t>3.56±3.55</t>
  </si>
  <si>
    <t>2.89±3.06</t>
  </si>
  <si>
    <t>0.64±1.28</t>
  </si>
  <si>
    <t>0.25±0.71</t>
  </si>
  <si>
    <t>0.68±1.53</t>
  </si>
  <si>
    <t>0.34±1.23</t>
  </si>
  <si>
    <t>0.25±0.75</t>
  </si>
  <si>
    <t>0.02±0.22</t>
  </si>
  <si>
    <t>2.83±2.58</t>
  </si>
  <si>
    <t>15.42±8.68</t>
  </si>
  <si>
    <t>0.00±0.10</t>
  </si>
  <si>
    <t>5.56±3.83</t>
  </si>
  <si>
    <t>0.96±1.38</t>
  </si>
  <si>
    <t>1.03±1.34</t>
  </si>
  <si>
    <t>3.12±4.11</t>
  </si>
  <si>
    <t>3.50±2.68</t>
  </si>
  <si>
    <t>0.18±0.50</t>
  </si>
  <si>
    <t>1.00±1.18</t>
  </si>
  <si>
    <t>0.73±1.14</t>
  </si>
  <si>
    <t>1.58±1.64</t>
  </si>
  <si>
    <t>4.66±4.44</t>
  </si>
  <si>
    <t>0.40±1.32</t>
  </si>
  <si>
    <t>1.15±1.81</t>
  </si>
  <si>
    <t>4.31±3.78</t>
  </si>
  <si>
    <t>2.20±2.52</t>
  </si>
  <si>
    <t>1.18±1.80</t>
  </si>
  <si>
    <t>0.22±0.60</t>
  </si>
  <si>
    <t>0.35±0.87</t>
  </si>
  <si>
    <t>0.24±0.66</t>
  </si>
  <si>
    <t>13.43±9.37</t>
  </si>
  <si>
    <t>3.44±2.99</t>
  </si>
  <si>
    <t>1.69±1.85</t>
  </si>
  <si>
    <t>1.27±1.86</t>
  </si>
  <si>
    <t>1.24±1.72</t>
  </si>
  <si>
    <t>1.03±1.37</t>
  </si>
  <si>
    <t>3.39±2.82</t>
  </si>
  <si>
    <t>0.72±1.16</t>
  </si>
  <si>
    <t>1.02±1.59</t>
  </si>
  <si>
    <t>1.08±1.60</t>
  </si>
  <si>
    <t>0.41±0.93</t>
  </si>
  <si>
    <t>0.17±0.56</t>
  </si>
  <si>
    <t>1.32±3.04</t>
  </si>
  <si>
    <t>0.31±1.09</t>
  </si>
  <si>
    <t>0.69±2.10</t>
  </si>
  <si>
    <t>0.13±0.51</t>
  </si>
  <si>
    <t>0.24±1.16</t>
  </si>
  <si>
    <t>10.36±6.56</t>
  </si>
  <si>
    <t>2.16±2.11</t>
  </si>
  <si>
    <t>4.69±3.68</t>
  </si>
  <si>
    <t>4.32±3.44</t>
  </si>
  <si>
    <t>7.67±6.46</t>
  </si>
  <si>
    <t>4.01±4.34</t>
  </si>
  <si>
    <t>2.96±3.19</t>
  </si>
  <si>
    <t>0.87±1.65</t>
  </si>
  <si>
    <t>0.36±1.01</t>
  </si>
  <si>
    <t>0.96±2.03</t>
  </si>
  <si>
    <t>0.22±0.73</t>
  </si>
  <si>
    <t>0.15±0.60</t>
  </si>
  <si>
    <t>0.02±0.19</t>
  </si>
  <si>
    <t>2.43±2.16</t>
  </si>
  <si>
    <t>17.31±11.37</t>
  </si>
  <si>
    <t>0.03±0.21</t>
  </si>
  <si>
    <t>8.44±6.42</t>
  </si>
  <si>
    <t>1.50±1.78</t>
  </si>
  <si>
    <t>1.50±1.87</t>
  </si>
  <si>
    <t>4.77±8.29</t>
  </si>
  <si>
    <t>5.33±4.27</t>
  </si>
  <si>
    <t>0.26±0.62</t>
  </si>
  <si>
    <t>1.54±1.66</t>
  </si>
  <si>
    <t>0.88±1.32</t>
  </si>
  <si>
    <t>2.64±2.78</t>
  </si>
  <si>
    <t>7.84±7.24</t>
  </si>
  <si>
    <t>0.36±1.32</t>
  </si>
  <si>
    <t>0.08±0.45</t>
  </si>
  <si>
    <t>1.36±2.09</t>
  </si>
  <si>
    <t>7.56±6.58</t>
  </si>
  <si>
    <t>2.71±3.32</t>
  </si>
  <si>
    <t>2.73±3.25</t>
  </si>
  <si>
    <t>0.48±0.99</t>
  </si>
  <si>
    <t>1.10±1.89</t>
  </si>
  <si>
    <t>0.38±0.87</t>
  </si>
  <si>
    <t>25.00±19.15</t>
  </si>
  <si>
    <t>6.50±5.78</t>
  </si>
  <si>
    <t>3.62±3.48</t>
  </si>
  <si>
    <t>1.98±2.76</t>
  </si>
  <si>
    <t>2.37±2.95</t>
  </si>
  <si>
    <t>1.79±2.07</t>
  </si>
  <si>
    <t>6.81±6.21</t>
  </si>
  <si>
    <t>1.01±1.42</t>
  </si>
  <si>
    <t>1.75±2.25</t>
  </si>
  <si>
    <t>1.28±1.87</t>
  </si>
  <si>
    <t>0.43±1.11</t>
  </si>
  <si>
    <t>0.34±0.93</t>
  </si>
  <si>
    <t>0.14±0.48</t>
  </si>
  <si>
    <t>1.10±2.79</t>
  </si>
  <si>
    <t>0.25±0.95</t>
  </si>
  <si>
    <t>0.56±1.82</t>
  </si>
  <si>
    <t>0.17±0.73</t>
  </si>
  <si>
    <t>0.16±1.07</t>
  </si>
  <si>
    <t>16.98±10.59</t>
  </si>
  <si>
    <t>3.10±3.05</t>
  </si>
  <si>
    <t>8.03±5.97</t>
  </si>
  <si>
    <t>6.77±4.50</t>
  </si>
  <si>
    <t>12.89±11.57</t>
  </si>
  <si>
    <t>7.04±8.03</t>
  </si>
  <si>
    <t>5.76±5.64</t>
  </si>
  <si>
    <t>0.97±2.02</t>
  </si>
  <si>
    <t>0.35±1.00</t>
  </si>
  <si>
    <t>1.19±2.42</t>
  </si>
  <si>
    <t>0.64±2.13</t>
  </si>
  <si>
    <t>0.28±0.94</t>
  </si>
  <si>
    <t>0.02±0.28</t>
  </si>
  <si>
    <t>4.80±4.51</t>
  </si>
  <si>
    <t>24.73±18.00</t>
  </si>
  <si>
    <t>0.00±0.06</t>
  </si>
  <si>
    <t>7.51±5.42</t>
  </si>
  <si>
    <t>1.22±1.59</t>
  </si>
  <si>
    <t>1.46±1.81</t>
  </si>
  <si>
    <t>3.99±6.90</t>
  </si>
  <si>
    <t>4.73±3.70</t>
  </si>
  <si>
    <t>0.21±0.55</t>
  </si>
  <si>
    <t>1.40±1.52</t>
  </si>
  <si>
    <t>0.98±1.43</t>
  </si>
  <si>
    <t>2.13±2.19</t>
  </si>
  <si>
    <t>6.18±5.69</t>
  </si>
  <si>
    <t>0.42±1.39</t>
  </si>
  <si>
    <t>0.09±0.39</t>
  </si>
  <si>
    <t>1.29±2.06</t>
  </si>
  <si>
    <t>6.11±5.36</t>
  </si>
  <si>
    <t>2.98±3.14</t>
  </si>
  <si>
    <t>1.68±2.53</t>
  </si>
  <si>
    <t>0.34±0.80</t>
  </si>
  <si>
    <t>0.51±1.22</t>
  </si>
  <si>
    <t>0.30±0.83</t>
  </si>
  <si>
    <t>19.97±15.40</t>
  </si>
  <si>
    <t>4.83±4.22</t>
  </si>
  <si>
    <t>2.46±2.65</t>
  </si>
  <si>
    <t>1.82±2.66</t>
  </si>
  <si>
    <t>1.82±2.63</t>
  </si>
  <si>
    <t>5.55±4.77</t>
  </si>
  <si>
    <t>0.90±1.37</t>
  </si>
  <si>
    <t>1.59±2.31</t>
  </si>
  <si>
    <t>1.36±1.88</t>
  </si>
  <si>
    <t>0.49±1.12</t>
  </si>
  <si>
    <t>0.27±0.74</t>
  </si>
  <si>
    <t>0.21±0.67</t>
  </si>
  <si>
    <t>1.74±4.08</t>
  </si>
  <si>
    <t>0.97±2.92</t>
  </si>
  <si>
    <t>0.16±0.62</t>
  </si>
  <si>
    <t>0.30±1.43</t>
  </si>
  <si>
    <t>14.68±9.76</t>
  </si>
  <si>
    <t>3.06±2.91</t>
  </si>
  <si>
    <t>6.76±5.28</t>
  </si>
  <si>
    <t>5.75±4.46</t>
  </si>
  <si>
    <t>11.98±11.39</t>
  </si>
  <si>
    <t>6.54±8.21</t>
  </si>
  <si>
    <t>4.84±5.06</t>
  </si>
  <si>
    <t>1.17±2.26</t>
  </si>
  <si>
    <t>0.48±1.29</t>
  </si>
  <si>
    <t>1.58±3.28</t>
  </si>
  <si>
    <t>0.30±1.07</t>
  </si>
  <si>
    <t>0.20±0.78</t>
  </si>
  <si>
    <t>3.50±3.17</t>
  </si>
  <si>
    <t>24.66±23.26</t>
  </si>
  <si>
    <t>0.03±0.23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</si>
</sst>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b/>
      <sz val="11"/>
      <color rgb="FF000000"/>
      <name val="Times New Roman"/>
    </font>
    <font>
      <sz val="11"/>
      <color rgb="FF000000"/>
      <name val="宋体"/>
      <charset val="134"/>
    </font>
    <font>
      <sz val="11"/>
      <color rgb="FF000000"/>
      <name val="Times New Roman"/>
    </font>
    <font>
      <i/>
      <sz val="11"/>
      <color rgb="FF000000"/>
      <name val="Times New Roman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76" fontId="0" fillId="0" borderId="0" xfId="0" applyNumberFormat="1"/>
    <xf numFmtId="0" fontId="1" fillId="0" borderId="0" xfId="0" applyFont="1"/>
    <xf numFmtId="176" fontId="1" fillId="0" borderId="0" xfId="0" applyNumberFormat="1" applyFont="1"/>
    <xf numFmtId="0" fontId="1" fillId="0" borderId="0" xfId="0" applyFont="1" applyAlignment="1">
      <alignment horizontal="center" vertical="top"/>
    </xf>
    <xf numFmtId="176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6" fillId="0" borderId="0" xfId="0" applyFont="1"/>
    <xf numFmtId="176" fontId="1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0" fontId="9" fillId="0" borderId="0" xfId="0" applyFont="1"/>
    <xf numFmtId="176" fontId="9" fillId="0" borderId="0" xfId="0" applyNumberFormat="1" applyFont="1" applyAlignment="1">
      <alignment horizontal="center"/>
    </xf>
    <xf numFmtId="176" fontId="9" fillId="0" borderId="0" xfId="0" applyNumberFormat="1" applyFont="1"/>
    <xf numFmtId="0" fontId="9" fillId="0" borderId="0" xfId="0" applyFont="1" applyAlignment="1">
      <alignment horizontal="center" vertical="top"/>
    </xf>
    <xf numFmtId="176" fontId="10" fillId="0" borderId="0" xfId="0" applyNumberFormat="1" applyFont="1"/>
    <xf numFmtId="0" fontId="10" fillId="0" borderId="0" xfId="0" applyFont="1"/>
    <xf numFmtId="0" fontId="9" fillId="2" borderId="0" xfId="0" applyFont="1" applyFill="1"/>
    <xf numFmtId="0" fontId="10" fillId="2" borderId="0" xfId="0" applyFont="1" applyFill="1"/>
  </cellXfs>
  <cellStyles count="1">
    <cellStyle name="常规" xfId="0" builtinId="0"/>
  </cellStyles>
  <dxfs count="63"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b/>
        <i val="0"/>
      </font>
      <fill>
        <patternFill>
          <bgColor theme="0"/>
        </patternFill>
      </fill>
    </dxf>
    <dxf>
      <font>
        <strike val="0"/>
        <u/>
      </font>
      <fill>
        <patternFill>
          <bgColor theme="0"/>
        </patternFill>
      </fill>
    </dxf>
    <dxf>
      <font>
        <b/>
        <i val="0"/>
      </font>
      <fill>
        <patternFill>
          <bgColor theme="0"/>
        </patternFill>
      </fill>
    </dxf>
    <dxf>
      <font>
        <strike val="0"/>
        <u/>
      </font>
      <fill>
        <patternFill>
          <bgColor theme="0"/>
        </patternFill>
      </fill>
    </dxf>
    <dxf>
      <font>
        <b/>
        <i val="0"/>
      </font>
      <fill>
        <patternFill>
          <bgColor theme="0"/>
        </patternFill>
      </fill>
    </dxf>
    <dxf>
      <font>
        <strike val="0"/>
        <u/>
      </font>
      <fill>
        <patternFill>
          <bgColor theme="0"/>
        </patternFill>
      </fill>
    </dxf>
    <dxf>
      <font>
        <b/>
        <i val="0"/>
      </font>
      <fill>
        <patternFill>
          <bgColor theme="0"/>
        </patternFill>
      </fill>
    </dxf>
    <dxf>
      <font>
        <strike val="0"/>
        <u/>
      </font>
      <fill>
        <patternFill>
          <bgColor theme="0"/>
        </patternFill>
      </fill>
    </dxf>
    <dxf>
      <font>
        <b/>
        <i val="0"/>
      </font>
      <fill>
        <patternFill>
          <bgColor theme="0"/>
        </patternFill>
      </fill>
    </dxf>
    <dxf>
      <font>
        <strike val="0"/>
        <u/>
      </font>
      <fill>
        <patternFill>
          <bgColor theme="0"/>
        </patternFill>
      </fill>
    </dxf>
    <dxf>
      <font>
        <b/>
        <i val="0"/>
      </font>
      <fill>
        <patternFill>
          <bgColor theme="0"/>
        </patternFill>
      </fill>
    </dxf>
    <dxf>
      <font>
        <strike val="0"/>
        <u/>
      </font>
      <fill>
        <patternFill>
          <bgColor theme="0"/>
        </patternFill>
      </fill>
    </dxf>
    <dxf>
      <font>
        <b/>
        <i val="0"/>
      </font>
      <fill>
        <patternFill>
          <bgColor theme="0"/>
        </patternFill>
      </fill>
    </dxf>
    <dxf>
      <font>
        <strike val="0"/>
        <u/>
      </font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b/>
        <i val="0"/>
      </font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  <dxf>
      <font>
        <color rgb="FF00B050"/>
      </font>
      <numFmt numFmtId="176" formatCode="0.00_ "/>
      <fill>
        <patternFill>
          <bgColor theme="0"/>
        </patternFill>
      </fill>
    </dxf>
    <dxf>
      <font>
        <color rgb="FFFF0000"/>
      </font>
      <numFmt numFmtId="176" formatCode="0.00_ "/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004B-00BE-4D8D-9BEB-DF473BA7FAFF}">
  <dimension ref="A1:Y55"/>
  <sheetViews>
    <sheetView topLeftCell="A20" workbookViewId="0">
      <selection activeCell="Y3" sqref="Y3:Y55"/>
    </sheetView>
  </sheetViews>
  <sheetFormatPr defaultRowHeight="13.8" x14ac:dyDescent="0.25"/>
  <sheetData>
    <row r="1" spans="1:25" x14ac:dyDescent="0.25">
      <c r="A1" s="14" t="s">
        <v>150</v>
      </c>
      <c r="F1" s="14" t="s">
        <v>204</v>
      </c>
      <c r="N1" s="14" t="s">
        <v>258</v>
      </c>
      <c r="S1" s="14" t="s">
        <v>311</v>
      </c>
    </row>
    <row r="2" spans="1:25" x14ac:dyDescent="0.25">
      <c r="B2" s="13" t="s">
        <v>61</v>
      </c>
      <c r="C2" s="13" t="s">
        <v>62</v>
      </c>
      <c r="D2" s="13" t="s">
        <v>63</v>
      </c>
      <c r="G2" s="13" t="s">
        <v>61</v>
      </c>
      <c r="H2" s="13" t="s">
        <v>62</v>
      </c>
      <c r="I2" s="13" t="s">
        <v>63</v>
      </c>
      <c r="O2" s="13" t="s">
        <v>61</v>
      </c>
      <c r="P2" s="13" t="s">
        <v>62</v>
      </c>
      <c r="Q2" s="13" t="s">
        <v>63</v>
      </c>
      <c r="T2" s="13" t="s">
        <v>61</v>
      </c>
      <c r="U2" s="13" t="s">
        <v>62</v>
      </c>
      <c r="V2" s="13" t="s">
        <v>63</v>
      </c>
    </row>
    <row r="3" spans="1:25" x14ac:dyDescent="0.25">
      <c r="A3" s="13" t="s">
        <v>64</v>
      </c>
      <c r="B3">
        <v>10.74117895626453</v>
      </c>
      <c r="C3">
        <v>6.4579086470214966</v>
      </c>
      <c r="D3" t="s">
        <v>65</v>
      </c>
      <c r="F3" s="13" t="s">
        <v>64</v>
      </c>
      <c r="G3">
        <v>2.9935753292643752</v>
      </c>
      <c r="H3">
        <v>3.1521633030259801</v>
      </c>
      <c r="I3" t="s">
        <v>151</v>
      </c>
      <c r="K3">
        <f>(B3-G3)</f>
        <v>7.7476036270001547</v>
      </c>
      <c r="L3">
        <f>K3/G3</f>
        <v>2.5880770566425024</v>
      </c>
      <c r="N3" s="13" t="s">
        <v>64</v>
      </c>
      <c r="O3">
        <v>10.527710843373489</v>
      </c>
      <c r="P3">
        <v>6.3943831840884284</v>
      </c>
      <c r="Q3" t="s">
        <v>205</v>
      </c>
      <c r="S3" s="13" t="s">
        <v>64</v>
      </c>
      <c r="T3">
        <v>3.5474289957304621</v>
      </c>
      <c r="U3">
        <v>3.8169358926420238</v>
      </c>
      <c r="V3" t="s">
        <v>259</v>
      </c>
      <c r="X3">
        <f>(O3-T3)</f>
        <v>6.9802818476430275</v>
      </c>
      <c r="Y3">
        <f>X3/T3</f>
        <v>1.9677016385794344</v>
      </c>
    </row>
    <row r="4" spans="1:25" x14ac:dyDescent="0.25">
      <c r="A4" s="13" t="s">
        <v>66</v>
      </c>
      <c r="B4">
        <v>1.911895203887598</v>
      </c>
      <c r="C4">
        <v>1.939620011692027</v>
      </c>
      <c r="D4" t="s">
        <v>67</v>
      </c>
      <c r="F4" s="13" t="s">
        <v>66</v>
      </c>
      <c r="G4">
        <v>0.56869043794838847</v>
      </c>
      <c r="H4">
        <v>1.0198650734536201</v>
      </c>
      <c r="I4" t="s">
        <v>152</v>
      </c>
      <c r="K4">
        <f t="shared" ref="K4:K55" si="0">(B4-G4)</f>
        <v>1.3432047659392095</v>
      </c>
      <c r="L4">
        <f t="shared" ref="L4:L55" si="1">K4/G4</f>
        <v>2.3619260608371828</v>
      </c>
      <c r="N4" s="13" t="s">
        <v>66</v>
      </c>
      <c r="O4">
        <v>1.769416126042632</v>
      </c>
      <c r="P4">
        <v>1.96517481708311</v>
      </c>
      <c r="Q4" t="s">
        <v>206</v>
      </c>
      <c r="S4" s="13" t="s">
        <v>66</v>
      </c>
      <c r="T4">
        <v>0.68702431780211626</v>
      </c>
      <c r="U4">
        <v>1.216326840942932</v>
      </c>
      <c r="V4" t="s">
        <v>260</v>
      </c>
      <c r="X4">
        <f t="shared" ref="X4:X55" si="2">(O4-T4)</f>
        <v>1.0823918082405157</v>
      </c>
      <c r="Y4">
        <f t="shared" ref="Y4:Y55" si="3">X4/T4</f>
        <v>1.5754781602247117</v>
      </c>
    </row>
    <row r="5" spans="1:25" x14ac:dyDescent="0.25">
      <c r="A5" s="13" t="s">
        <v>68</v>
      </c>
      <c r="B5">
        <v>1.950454257342066</v>
      </c>
      <c r="C5">
        <v>2.0278505413191872</v>
      </c>
      <c r="D5" t="s">
        <v>69</v>
      </c>
      <c r="F5" s="13" t="s">
        <v>68</v>
      </c>
      <c r="G5">
        <v>0.51772138344576513</v>
      </c>
      <c r="H5">
        <v>0.9813978250697255</v>
      </c>
      <c r="I5" t="s">
        <v>153</v>
      </c>
      <c r="K5">
        <f t="shared" si="0"/>
        <v>1.4327328738963008</v>
      </c>
      <c r="L5">
        <f t="shared" si="1"/>
        <v>2.7673820701794316</v>
      </c>
      <c r="N5" s="13" t="s">
        <v>68</v>
      </c>
      <c r="O5">
        <v>2.0470806302131601</v>
      </c>
      <c r="P5">
        <v>2.0940104530581611</v>
      </c>
      <c r="Q5" t="s">
        <v>207</v>
      </c>
      <c r="S5" s="13" t="s">
        <v>68</v>
      </c>
      <c r="T5">
        <v>0.62650826062743648</v>
      </c>
      <c r="U5">
        <v>1.1157095341735781</v>
      </c>
      <c r="V5" t="s">
        <v>261</v>
      </c>
      <c r="X5">
        <f t="shared" si="2"/>
        <v>1.4205723695857237</v>
      </c>
      <c r="Y5">
        <f t="shared" si="3"/>
        <v>2.2674439570246796</v>
      </c>
    </row>
    <row r="6" spans="1:25" x14ac:dyDescent="0.25">
      <c r="A6" s="13" t="s">
        <v>11</v>
      </c>
      <c r="B6">
        <v>3.5961335305303188</v>
      </c>
      <c r="C6">
        <v>3.713640686888974</v>
      </c>
      <c r="D6" t="s">
        <v>70</v>
      </c>
      <c r="F6" s="13" t="s">
        <v>11</v>
      </c>
      <c r="G6">
        <v>3.4564728557661422</v>
      </c>
      <c r="H6">
        <v>3.7763432704169868</v>
      </c>
      <c r="I6" t="s">
        <v>154</v>
      </c>
      <c r="K6">
        <f t="shared" si="0"/>
        <v>0.13966067476417665</v>
      </c>
      <c r="L6">
        <f t="shared" si="1"/>
        <v>4.0405546518669323E-2</v>
      </c>
      <c r="N6" s="13" t="s">
        <v>11</v>
      </c>
      <c r="O6">
        <v>3.4037071362372568</v>
      </c>
      <c r="P6">
        <v>4.5415872969278563</v>
      </c>
      <c r="Q6" t="s">
        <v>208</v>
      </c>
      <c r="S6" s="13" t="s">
        <v>11</v>
      </c>
      <c r="T6">
        <v>3.2370521626137001</v>
      </c>
      <c r="U6">
        <v>4.6342715879039131</v>
      </c>
      <c r="V6" t="s">
        <v>262</v>
      </c>
      <c r="X6">
        <f t="shared" si="2"/>
        <v>0.16665497362355675</v>
      </c>
      <c r="Y6">
        <f t="shared" si="3"/>
        <v>5.1483561355092328E-2</v>
      </c>
    </row>
    <row r="7" spans="1:25" x14ac:dyDescent="0.25">
      <c r="A7" s="13" t="s">
        <v>71</v>
      </c>
      <c r="B7">
        <v>6.7791041622649484</v>
      </c>
      <c r="C7">
        <v>4.3037730446421403</v>
      </c>
      <c r="D7" t="s">
        <v>72</v>
      </c>
      <c r="F7" s="13" t="s">
        <v>71</v>
      </c>
      <c r="G7">
        <v>1.834993039940036</v>
      </c>
      <c r="H7">
        <v>2.0875238599279871</v>
      </c>
      <c r="I7" t="s">
        <v>155</v>
      </c>
      <c r="K7">
        <f t="shared" si="0"/>
        <v>4.9441111223249123</v>
      </c>
      <c r="L7">
        <f t="shared" si="1"/>
        <v>2.6943487058057047</v>
      </c>
      <c r="N7" s="13" t="s">
        <v>71</v>
      </c>
      <c r="O7">
        <v>6.6050046339202968</v>
      </c>
      <c r="P7">
        <v>4.3383345446408761</v>
      </c>
      <c r="Q7" t="s">
        <v>209</v>
      </c>
      <c r="S7" s="13" t="s">
        <v>71</v>
      </c>
      <c r="T7">
        <v>2.127157972897717</v>
      </c>
      <c r="U7">
        <v>2.5368394798857921</v>
      </c>
      <c r="V7" t="s">
        <v>263</v>
      </c>
      <c r="X7">
        <f t="shared" si="2"/>
        <v>4.4778466610225802</v>
      </c>
      <c r="Y7">
        <f t="shared" si="3"/>
        <v>2.1050842100470057</v>
      </c>
    </row>
    <row r="8" spans="1:25" x14ac:dyDescent="0.25">
      <c r="A8" s="13" t="s">
        <v>73</v>
      </c>
      <c r="B8">
        <v>0.31449397844918658</v>
      </c>
      <c r="C8">
        <v>0.70277928567185466</v>
      </c>
      <c r="D8" t="s">
        <v>74</v>
      </c>
      <c r="F8" s="13" t="s">
        <v>73</v>
      </c>
      <c r="G8">
        <v>0.1752864332369633</v>
      </c>
      <c r="H8">
        <v>0.48184607305947952</v>
      </c>
      <c r="I8" t="s">
        <v>156</v>
      </c>
      <c r="K8">
        <f t="shared" si="0"/>
        <v>0.13920754521222328</v>
      </c>
      <c r="L8">
        <f t="shared" si="1"/>
        <v>0.79417181718812035</v>
      </c>
      <c r="N8" s="13" t="s">
        <v>73</v>
      </c>
      <c r="O8">
        <v>0.26839666357738651</v>
      </c>
      <c r="P8">
        <v>0.66136587902887067</v>
      </c>
      <c r="Q8" t="s">
        <v>210</v>
      </c>
      <c r="S8" s="13" t="s">
        <v>73</v>
      </c>
      <c r="T8">
        <v>0.17356599220345281</v>
      </c>
      <c r="U8">
        <v>0.4693968677723801</v>
      </c>
      <c r="V8" t="s">
        <v>264</v>
      </c>
      <c r="X8">
        <f t="shared" si="2"/>
        <v>9.4830671373933695E-2</v>
      </c>
      <c r="Y8">
        <f t="shared" si="3"/>
        <v>0.54636665956297392</v>
      </c>
    </row>
    <row r="9" spans="1:25" x14ac:dyDescent="0.25">
      <c r="A9" s="13" t="s">
        <v>75</v>
      </c>
      <c r="B9">
        <v>2.0021128248468201</v>
      </c>
      <c r="C9">
        <v>1.8331904399051531</v>
      </c>
      <c r="D9" t="s">
        <v>76</v>
      </c>
      <c r="F9" s="13" t="s">
        <v>75</v>
      </c>
      <c r="G9">
        <v>0.455187921619017</v>
      </c>
      <c r="H9">
        <v>0.7822454338251954</v>
      </c>
      <c r="I9" t="s">
        <v>157</v>
      </c>
      <c r="K9">
        <f t="shared" si="0"/>
        <v>1.546924903227803</v>
      </c>
      <c r="L9">
        <f t="shared" si="1"/>
        <v>3.3984313505632682</v>
      </c>
      <c r="N9" s="13" t="s">
        <v>75</v>
      </c>
      <c r="O9">
        <v>1.9844300278035221</v>
      </c>
      <c r="P9">
        <v>1.819164861662409</v>
      </c>
      <c r="Q9" t="s">
        <v>211</v>
      </c>
      <c r="S9" s="13" t="s">
        <v>75</v>
      </c>
      <c r="T9">
        <v>0.5658065713755337</v>
      </c>
      <c r="U9">
        <v>1.001059740224991</v>
      </c>
      <c r="V9" t="s">
        <v>265</v>
      </c>
      <c r="X9">
        <f t="shared" si="2"/>
        <v>1.4186234564279885</v>
      </c>
      <c r="Y9">
        <f t="shared" si="3"/>
        <v>2.5072587138377869</v>
      </c>
    </row>
    <row r="10" spans="1:25" x14ac:dyDescent="0.25">
      <c r="A10" s="13" t="s">
        <v>77</v>
      </c>
      <c r="B10">
        <v>0.98584407352630465</v>
      </c>
      <c r="C10">
        <v>1.37105012967916</v>
      </c>
      <c r="D10" t="s">
        <v>78</v>
      </c>
      <c r="F10" s="13" t="s">
        <v>77</v>
      </c>
      <c r="G10">
        <v>0.35153656708427028</v>
      </c>
      <c r="H10">
        <v>0.69856701305966162</v>
      </c>
      <c r="I10" t="s">
        <v>158</v>
      </c>
      <c r="K10">
        <f t="shared" si="0"/>
        <v>0.63430750644203437</v>
      </c>
      <c r="L10">
        <f t="shared" si="1"/>
        <v>1.8043855627968806</v>
      </c>
      <c r="N10" s="13" t="s">
        <v>77</v>
      </c>
      <c r="O10">
        <v>1.1781278962001851</v>
      </c>
      <c r="P10">
        <v>1.6239893232912019</v>
      </c>
      <c r="Q10" t="s">
        <v>212</v>
      </c>
      <c r="S10" s="13" t="s">
        <v>77</v>
      </c>
      <c r="T10">
        <v>0.51085947651754227</v>
      </c>
      <c r="U10">
        <v>1.00075303253336</v>
      </c>
      <c r="V10" t="s">
        <v>266</v>
      </c>
      <c r="X10">
        <f t="shared" si="2"/>
        <v>0.66726841968264283</v>
      </c>
      <c r="Y10">
        <f t="shared" si="3"/>
        <v>1.3061682328598825</v>
      </c>
    </row>
    <row r="11" spans="1:25" x14ac:dyDescent="0.25">
      <c r="A11" s="13" t="s">
        <v>79</v>
      </c>
      <c r="B11">
        <v>3.4646101838157621</v>
      </c>
      <c r="C11">
        <v>2.832694270769645</v>
      </c>
      <c r="D11" t="s">
        <v>80</v>
      </c>
      <c r="F11" s="13" t="s">
        <v>79</v>
      </c>
      <c r="G11">
        <v>0.84355926758753619</v>
      </c>
      <c r="H11">
        <v>1.290293602575237</v>
      </c>
      <c r="I11" t="s">
        <v>159</v>
      </c>
      <c r="K11">
        <f t="shared" si="0"/>
        <v>2.6210509162282261</v>
      </c>
      <c r="L11">
        <f t="shared" si="1"/>
        <v>3.1071330930001779</v>
      </c>
      <c r="N11" s="13" t="s">
        <v>79</v>
      </c>
      <c r="O11">
        <v>3.1558850787766448</v>
      </c>
      <c r="P11">
        <v>2.65015864982696</v>
      </c>
      <c r="Q11" t="s">
        <v>213</v>
      </c>
      <c r="S11" s="13" t="s">
        <v>79</v>
      </c>
      <c r="T11">
        <v>0.86374605531835902</v>
      </c>
      <c r="U11">
        <v>1.321505797314702</v>
      </c>
      <c r="V11" t="s">
        <v>267</v>
      </c>
      <c r="X11">
        <f t="shared" si="2"/>
        <v>2.2921390234582857</v>
      </c>
      <c r="Y11">
        <f t="shared" si="3"/>
        <v>2.65371865879428</v>
      </c>
    </row>
    <row r="12" spans="1:25" x14ac:dyDescent="0.25">
      <c r="A12" s="13" t="s">
        <v>81</v>
      </c>
      <c r="B12">
        <v>9.6394464398901327</v>
      </c>
      <c r="C12">
        <v>7.5443708138727876</v>
      </c>
      <c r="D12" t="s">
        <v>82</v>
      </c>
      <c r="F12" s="13" t="s">
        <v>81</v>
      </c>
      <c r="G12">
        <v>2.8424884891315991</v>
      </c>
      <c r="H12">
        <v>3.5377488926139629</v>
      </c>
      <c r="I12" t="s">
        <v>160</v>
      </c>
      <c r="K12">
        <f t="shared" si="0"/>
        <v>6.796957950758534</v>
      </c>
      <c r="L12">
        <f t="shared" si="1"/>
        <v>2.3911998154951384</v>
      </c>
      <c r="N12" s="13" t="s">
        <v>81</v>
      </c>
      <c r="O12">
        <v>8.1703429101019456</v>
      </c>
      <c r="P12">
        <v>6.7806959367771116</v>
      </c>
      <c r="Q12" t="s">
        <v>214</v>
      </c>
      <c r="S12" s="13" t="s">
        <v>81</v>
      </c>
      <c r="T12">
        <v>2.9974011509188792</v>
      </c>
      <c r="U12">
        <v>3.732863148917565</v>
      </c>
      <c r="V12" t="s">
        <v>268</v>
      </c>
      <c r="X12">
        <f t="shared" si="2"/>
        <v>5.1729417591830664</v>
      </c>
      <c r="Y12">
        <f t="shared" si="3"/>
        <v>1.7258089587365564</v>
      </c>
    </row>
    <row r="13" spans="1:25" x14ac:dyDescent="0.25">
      <c r="A13" s="13" t="s">
        <v>18</v>
      </c>
      <c r="B13">
        <v>0.61757870272554405</v>
      </c>
      <c r="C13">
        <v>1.9061341994337859</v>
      </c>
      <c r="D13" t="s">
        <v>83</v>
      </c>
      <c r="F13" s="13" t="s">
        <v>18</v>
      </c>
      <c r="G13">
        <v>0.25366741621158578</v>
      </c>
      <c r="H13">
        <v>1.0236056180156039</v>
      </c>
      <c r="I13" t="s">
        <v>161</v>
      </c>
      <c r="K13">
        <f t="shared" si="0"/>
        <v>0.36391128651395827</v>
      </c>
      <c r="L13">
        <f t="shared" si="1"/>
        <v>1.4346000442185971</v>
      </c>
      <c r="N13" s="13" t="s">
        <v>18</v>
      </c>
      <c r="O13">
        <v>0.60797034291010199</v>
      </c>
      <c r="P13">
        <v>1.916492501086642</v>
      </c>
      <c r="Q13" t="s">
        <v>215</v>
      </c>
      <c r="S13" s="13" t="s">
        <v>18</v>
      </c>
      <c r="T13">
        <v>0.30053833302394661</v>
      </c>
      <c r="U13">
        <v>0.99033844028025997</v>
      </c>
      <c r="V13" t="s">
        <v>269</v>
      </c>
      <c r="X13">
        <f t="shared" si="2"/>
        <v>0.30743200988615538</v>
      </c>
      <c r="Y13">
        <f t="shared" si="3"/>
        <v>1.0229377623574543</v>
      </c>
    </row>
    <row r="14" spans="1:25" x14ac:dyDescent="0.25">
      <c r="A14" s="13" t="s">
        <v>19</v>
      </c>
      <c r="B14">
        <v>0.11958588633002321</v>
      </c>
      <c r="C14">
        <v>0.49749810148367818</v>
      </c>
      <c r="D14" t="s">
        <v>84</v>
      </c>
      <c r="F14" s="13" t="s">
        <v>19</v>
      </c>
      <c r="G14">
        <v>6.7459042724060392E-2</v>
      </c>
      <c r="H14">
        <v>0.31515936180451759</v>
      </c>
      <c r="I14" t="s">
        <v>162</v>
      </c>
      <c r="K14">
        <f t="shared" si="0"/>
        <v>5.2126843605962814E-2</v>
      </c>
      <c r="L14">
        <f t="shared" si="1"/>
        <v>0.7727184006922011</v>
      </c>
      <c r="N14" s="13" t="s">
        <v>19</v>
      </c>
      <c r="O14">
        <v>0.1249304911955514</v>
      </c>
      <c r="P14">
        <v>0.50759833664365317</v>
      </c>
      <c r="Q14" t="s">
        <v>216</v>
      </c>
      <c r="S14" s="13" t="s">
        <v>19</v>
      </c>
      <c r="T14">
        <v>6.0330425097456841E-2</v>
      </c>
      <c r="U14">
        <v>0.30143628573274772</v>
      </c>
      <c r="V14" t="s">
        <v>270</v>
      </c>
      <c r="X14">
        <f t="shared" si="2"/>
        <v>6.4600066098094558E-2</v>
      </c>
      <c r="Y14">
        <f t="shared" si="3"/>
        <v>1.0707709417551858</v>
      </c>
    </row>
    <row r="15" spans="1:25" x14ac:dyDescent="0.25">
      <c r="A15" s="13" t="s">
        <v>20</v>
      </c>
      <c r="B15">
        <v>2.0834565814493979</v>
      </c>
      <c r="C15">
        <v>2.5535173901651529</v>
      </c>
      <c r="D15" t="s">
        <v>85</v>
      </c>
      <c r="F15" s="13" t="s">
        <v>20</v>
      </c>
      <c r="G15">
        <v>0.79066281186422527</v>
      </c>
      <c r="H15">
        <v>1.4031046640754361</v>
      </c>
      <c r="I15" t="s">
        <v>163</v>
      </c>
      <c r="K15">
        <f t="shared" si="0"/>
        <v>1.2927937695851726</v>
      </c>
      <c r="L15">
        <f t="shared" si="1"/>
        <v>1.6350759769983649</v>
      </c>
      <c r="N15" s="13" t="s">
        <v>20</v>
      </c>
      <c r="O15">
        <v>1.963855421686747</v>
      </c>
      <c r="P15">
        <v>2.5965934090086669</v>
      </c>
      <c r="Q15" t="s">
        <v>217</v>
      </c>
      <c r="S15" s="13" t="s">
        <v>20</v>
      </c>
      <c r="T15">
        <v>0.8195656209392983</v>
      </c>
      <c r="U15">
        <v>1.50606015473095</v>
      </c>
      <c r="V15" t="s">
        <v>271</v>
      </c>
      <c r="X15">
        <f t="shared" si="2"/>
        <v>1.1442898007474487</v>
      </c>
      <c r="Y15">
        <f t="shared" si="3"/>
        <v>1.3962149845133649</v>
      </c>
    </row>
    <row r="16" spans="1:25" x14ac:dyDescent="0.25">
      <c r="A16" s="13" t="s">
        <v>86</v>
      </c>
      <c r="B16">
        <v>9.3084724276357491</v>
      </c>
      <c r="C16">
        <v>6.9805499952940044</v>
      </c>
      <c r="D16" t="s">
        <v>87</v>
      </c>
      <c r="F16" s="13" t="s">
        <v>86</v>
      </c>
      <c r="G16">
        <v>2.0325516650604989</v>
      </c>
      <c r="H16">
        <v>2.3108251008213849</v>
      </c>
      <c r="I16" t="s">
        <v>164</v>
      </c>
      <c r="K16">
        <f t="shared" si="0"/>
        <v>7.2759207625752502</v>
      </c>
      <c r="L16">
        <f t="shared" si="1"/>
        <v>3.579697819075454</v>
      </c>
      <c r="N16" s="13" t="s">
        <v>86</v>
      </c>
      <c r="O16">
        <v>8.5099165894346616</v>
      </c>
      <c r="P16">
        <v>6.3759405285606423</v>
      </c>
      <c r="Q16" t="s">
        <v>218</v>
      </c>
      <c r="S16" s="13" t="s">
        <v>86</v>
      </c>
      <c r="T16">
        <v>2.137739001299424</v>
      </c>
      <c r="U16">
        <v>2.8883737415017938</v>
      </c>
      <c r="V16" t="s">
        <v>272</v>
      </c>
      <c r="X16">
        <f t="shared" si="2"/>
        <v>6.3721775881352372</v>
      </c>
      <c r="Y16">
        <f t="shared" si="3"/>
        <v>2.9808024198753502</v>
      </c>
    </row>
    <row r="17" spans="1:25" x14ac:dyDescent="0.25">
      <c r="A17" s="13" t="s">
        <v>88</v>
      </c>
      <c r="B17">
        <v>3.8400591590957109</v>
      </c>
      <c r="C17">
        <v>3.8213105227998621</v>
      </c>
      <c r="D17" t="s">
        <v>89</v>
      </c>
      <c r="F17" s="13" t="s">
        <v>88</v>
      </c>
      <c r="G17">
        <v>0.76378627262019483</v>
      </c>
      <c r="H17">
        <v>1.234842237715176</v>
      </c>
      <c r="I17" t="s">
        <v>165</v>
      </c>
      <c r="K17">
        <f t="shared" si="0"/>
        <v>3.076272886475516</v>
      </c>
      <c r="L17">
        <f t="shared" si="1"/>
        <v>4.0276619216030909</v>
      </c>
      <c r="N17" s="13" t="s">
        <v>88</v>
      </c>
      <c r="O17">
        <v>4.4446709916589437</v>
      </c>
      <c r="P17">
        <v>4.0836233495416083</v>
      </c>
      <c r="Q17" t="s">
        <v>219</v>
      </c>
      <c r="S17" s="13" t="s">
        <v>88</v>
      </c>
      <c r="T17">
        <v>0.97865231111936146</v>
      </c>
      <c r="U17">
        <v>1.6394541976085231</v>
      </c>
      <c r="V17" t="s">
        <v>273</v>
      </c>
      <c r="X17">
        <f t="shared" si="2"/>
        <v>3.4660186805395821</v>
      </c>
      <c r="Y17">
        <f t="shared" si="3"/>
        <v>3.5416241714845844</v>
      </c>
    </row>
    <row r="18" spans="1:25" x14ac:dyDescent="0.25">
      <c r="A18" s="13" t="s">
        <v>90</v>
      </c>
      <c r="B18">
        <v>3.0086625818719628</v>
      </c>
      <c r="C18">
        <v>3.422051631098594</v>
      </c>
      <c r="D18" t="s">
        <v>91</v>
      </c>
      <c r="F18" s="13" t="s">
        <v>90</v>
      </c>
      <c r="G18">
        <v>0.85780062105150445</v>
      </c>
      <c r="H18">
        <v>1.326499734164031</v>
      </c>
      <c r="I18" t="s">
        <v>166</v>
      </c>
      <c r="K18">
        <f t="shared" si="0"/>
        <v>2.1508619608204582</v>
      </c>
      <c r="L18">
        <f t="shared" si="1"/>
        <v>2.5074147861817826</v>
      </c>
      <c r="N18" s="13" t="s">
        <v>90</v>
      </c>
      <c r="O18">
        <v>2.1002780352177939</v>
      </c>
      <c r="P18">
        <v>2.8716438579615562</v>
      </c>
      <c r="Q18" t="s">
        <v>220</v>
      </c>
      <c r="S18" s="13" t="s">
        <v>90</v>
      </c>
      <c r="T18">
        <v>0.73881566734731763</v>
      </c>
      <c r="U18">
        <v>1.4420038073151851</v>
      </c>
      <c r="V18" t="s">
        <v>274</v>
      </c>
      <c r="X18">
        <f t="shared" si="2"/>
        <v>1.3614623678704763</v>
      </c>
      <c r="Y18">
        <f t="shared" si="3"/>
        <v>1.8427632602307173</v>
      </c>
    </row>
    <row r="19" spans="1:25" x14ac:dyDescent="0.25">
      <c r="A19" s="13" t="s">
        <v>92</v>
      </c>
      <c r="B19">
        <v>0.59750686668075215</v>
      </c>
      <c r="C19">
        <v>1.0848084716599879</v>
      </c>
      <c r="D19" t="s">
        <v>93</v>
      </c>
      <c r="F19" s="13" t="s">
        <v>92</v>
      </c>
      <c r="G19">
        <v>0.14616125923546419</v>
      </c>
      <c r="H19">
        <v>0.44648143474556218</v>
      </c>
      <c r="I19" t="s">
        <v>167</v>
      </c>
      <c r="K19">
        <f t="shared" si="0"/>
        <v>0.45134560744528796</v>
      </c>
      <c r="L19">
        <f t="shared" si="1"/>
        <v>3.0879975296201789</v>
      </c>
      <c r="N19" s="13" t="s">
        <v>92</v>
      </c>
      <c r="O19">
        <v>0.43113994439295639</v>
      </c>
      <c r="P19">
        <v>0.90103229322061296</v>
      </c>
      <c r="Q19" t="s">
        <v>221</v>
      </c>
      <c r="S19" s="13" t="s">
        <v>92</v>
      </c>
      <c r="T19">
        <v>0.119732689808799</v>
      </c>
      <c r="U19">
        <v>0.44816173921846297</v>
      </c>
      <c r="V19" t="s">
        <v>275</v>
      </c>
      <c r="X19">
        <f t="shared" si="2"/>
        <v>0.31140725458415741</v>
      </c>
      <c r="Y19">
        <f t="shared" si="3"/>
        <v>2.6008540782090779</v>
      </c>
    </row>
    <row r="20" spans="1:25" x14ac:dyDescent="0.25">
      <c r="A20" s="13" t="s">
        <v>25</v>
      </c>
      <c r="B20">
        <v>1.0546165222903019</v>
      </c>
      <c r="C20">
        <v>1.911257921327157</v>
      </c>
      <c r="D20" t="s">
        <v>94</v>
      </c>
      <c r="F20" s="13" t="s">
        <v>25</v>
      </c>
      <c r="G20">
        <v>0.29842595566977193</v>
      </c>
      <c r="H20">
        <v>0.75375030517239427</v>
      </c>
      <c r="I20" t="s">
        <v>168</v>
      </c>
      <c r="K20">
        <f t="shared" si="0"/>
        <v>0.75619056662052997</v>
      </c>
      <c r="L20">
        <f t="shared" si="1"/>
        <v>2.5339302840578148</v>
      </c>
      <c r="N20" s="13" t="s">
        <v>25</v>
      </c>
      <c r="O20">
        <v>0.58480074142724747</v>
      </c>
      <c r="P20">
        <v>1.3146132305790701</v>
      </c>
      <c r="Q20" t="s">
        <v>222</v>
      </c>
      <c r="S20" s="13" t="s">
        <v>25</v>
      </c>
      <c r="T20">
        <v>0.21923148320029701</v>
      </c>
      <c r="U20">
        <v>0.6913189923548877</v>
      </c>
      <c r="V20" t="s">
        <v>276</v>
      </c>
      <c r="X20">
        <f t="shared" si="2"/>
        <v>0.36556925822695047</v>
      </c>
      <c r="Y20">
        <f t="shared" si="3"/>
        <v>1.6675034666118393</v>
      </c>
    </row>
    <row r="21" spans="1:25" x14ac:dyDescent="0.25">
      <c r="A21" s="13" t="s">
        <v>95</v>
      </c>
      <c r="B21">
        <v>0.58229452778364676</v>
      </c>
      <c r="C21">
        <v>1.1884455420546789</v>
      </c>
      <c r="D21" t="s">
        <v>96</v>
      </c>
      <c r="F21" s="13" t="s">
        <v>95</v>
      </c>
      <c r="G21">
        <v>0.13855873219830819</v>
      </c>
      <c r="H21">
        <v>0.42976443867490921</v>
      </c>
      <c r="I21" t="s">
        <v>169</v>
      </c>
      <c r="K21">
        <f t="shared" si="0"/>
        <v>0.4437357955853386</v>
      </c>
      <c r="L21">
        <f t="shared" si="1"/>
        <v>3.2025105061603374</v>
      </c>
      <c r="N21" s="13" t="s">
        <v>95</v>
      </c>
      <c r="O21">
        <v>0.44318813716404082</v>
      </c>
      <c r="P21">
        <v>1.045262026361075</v>
      </c>
      <c r="Q21" t="s">
        <v>223</v>
      </c>
      <c r="S21" s="13" t="s">
        <v>95</v>
      </c>
      <c r="T21">
        <v>0.1336550956005198</v>
      </c>
      <c r="U21">
        <v>0.44733155498255328</v>
      </c>
      <c r="V21" t="s">
        <v>277</v>
      </c>
      <c r="X21">
        <f t="shared" si="2"/>
        <v>0.30953304156352102</v>
      </c>
      <c r="Y21">
        <f t="shared" si="3"/>
        <v>2.3159090206981769</v>
      </c>
    </row>
    <row r="22" spans="1:25" x14ac:dyDescent="0.25">
      <c r="A22" s="13" t="s">
        <v>97</v>
      </c>
      <c r="B22">
        <v>29.965244031269808</v>
      </c>
      <c r="C22">
        <v>18.274625008633102</v>
      </c>
      <c r="D22" t="s">
        <v>98</v>
      </c>
      <c r="F22" s="13" t="s">
        <v>97</v>
      </c>
      <c r="G22">
        <v>6.3329050219509586</v>
      </c>
      <c r="H22">
        <v>6.125988569077137</v>
      </c>
      <c r="I22" t="s">
        <v>170</v>
      </c>
      <c r="K22">
        <f t="shared" si="0"/>
        <v>23.632339009318848</v>
      </c>
      <c r="L22">
        <f t="shared" si="1"/>
        <v>3.7316743149320919</v>
      </c>
      <c r="N22" s="13" t="s">
        <v>97</v>
      </c>
      <c r="O22">
        <v>26.320852641334572</v>
      </c>
      <c r="P22">
        <v>16.724487785036342</v>
      </c>
      <c r="Q22" t="s">
        <v>224</v>
      </c>
      <c r="S22" s="13" t="s">
        <v>97</v>
      </c>
      <c r="T22">
        <v>7.2157044737330613</v>
      </c>
      <c r="U22">
        <v>8.3950163743745012</v>
      </c>
      <c r="V22" t="s">
        <v>278</v>
      </c>
      <c r="X22">
        <f t="shared" si="2"/>
        <v>19.105148167601509</v>
      </c>
      <c r="Y22">
        <f t="shared" si="3"/>
        <v>2.6477176604375838</v>
      </c>
    </row>
    <row r="23" spans="1:25" x14ac:dyDescent="0.25">
      <c r="A23" s="13" t="s">
        <v>28</v>
      </c>
      <c r="B23">
        <v>7.6967039932389607</v>
      </c>
      <c r="C23">
        <v>5.7098744615883357</v>
      </c>
      <c r="D23" t="s">
        <v>99</v>
      </c>
      <c r="F23" s="13" t="s">
        <v>28</v>
      </c>
      <c r="G23">
        <v>1.6286540314808871</v>
      </c>
      <c r="H23">
        <v>1.916275283963585</v>
      </c>
      <c r="I23" t="s">
        <v>171</v>
      </c>
      <c r="K23">
        <f t="shared" si="0"/>
        <v>6.0680499617580734</v>
      </c>
      <c r="L23">
        <f t="shared" si="1"/>
        <v>3.7258066136001728</v>
      </c>
      <c r="N23" s="13" t="s">
        <v>28</v>
      </c>
      <c r="O23">
        <v>6.6457831325301209</v>
      </c>
      <c r="P23">
        <v>4.90941472116456</v>
      </c>
      <c r="Q23" t="s">
        <v>225</v>
      </c>
      <c r="S23" s="13" t="s">
        <v>28</v>
      </c>
      <c r="T23">
        <v>1.771486912938556</v>
      </c>
      <c r="U23">
        <v>2.2700074016962022</v>
      </c>
      <c r="V23" t="s">
        <v>279</v>
      </c>
      <c r="X23">
        <f t="shared" si="2"/>
        <v>4.8742962195915647</v>
      </c>
      <c r="Y23">
        <f t="shared" si="3"/>
        <v>2.7515282128198426</v>
      </c>
    </row>
    <row r="24" spans="1:25" x14ac:dyDescent="0.25">
      <c r="A24" s="13" t="s">
        <v>100</v>
      </c>
      <c r="B24">
        <v>4.2024086203253752</v>
      </c>
      <c r="C24">
        <v>3.3711774358695301</v>
      </c>
      <c r="D24" t="s">
        <v>101</v>
      </c>
      <c r="F24" s="13" t="s">
        <v>100</v>
      </c>
      <c r="G24">
        <v>0.74129992504550812</v>
      </c>
      <c r="H24">
        <v>1.108534070417452</v>
      </c>
      <c r="I24" t="s">
        <v>172</v>
      </c>
      <c r="K24">
        <f t="shared" si="0"/>
        <v>3.4611086952798669</v>
      </c>
      <c r="L24">
        <f t="shared" si="1"/>
        <v>4.6689721371108872</v>
      </c>
      <c r="N24" s="13" t="s">
        <v>100</v>
      </c>
      <c r="O24">
        <v>3.2150139017608899</v>
      </c>
      <c r="P24">
        <v>2.8667924671445841</v>
      </c>
      <c r="Q24" t="s">
        <v>226</v>
      </c>
      <c r="S24" s="13" t="s">
        <v>100</v>
      </c>
      <c r="T24">
        <v>0.75255244106181551</v>
      </c>
      <c r="U24">
        <v>1.27438359490447</v>
      </c>
      <c r="V24" t="s">
        <v>280</v>
      </c>
      <c r="X24">
        <f t="shared" si="2"/>
        <v>2.4624614606990742</v>
      </c>
      <c r="Y24">
        <f t="shared" si="3"/>
        <v>3.2721460011805408</v>
      </c>
    </row>
    <row r="25" spans="1:25" x14ac:dyDescent="0.25">
      <c r="A25" s="13" t="s">
        <v>102</v>
      </c>
      <c r="B25">
        <v>2.637122332558631</v>
      </c>
      <c r="C25">
        <v>2.9141713460538878</v>
      </c>
      <c r="D25" t="s">
        <v>103</v>
      </c>
      <c r="F25" s="13" t="s">
        <v>102</v>
      </c>
      <c r="G25">
        <v>0.6419316843345112</v>
      </c>
      <c r="H25">
        <v>1.147068280728164</v>
      </c>
      <c r="I25" t="s">
        <v>173</v>
      </c>
      <c r="K25">
        <f t="shared" si="0"/>
        <v>1.9951906482241197</v>
      </c>
      <c r="L25">
        <f t="shared" si="1"/>
        <v>3.1081043309032617</v>
      </c>
      <c r="N25" s="13" t="s">
        <v>102</v>
      </c>
      <c r="O25">
        <v>2.523632993512511</v>
      </c>
      <c r="P25">
        <v>3.0708400692135172</v>
      </c>
      <c r="Q25" t="s">
        <v>227</v>
      </c>
      <c r="S25" s="13" t="s">
        <v>102</v>
      </c>
      <c r="T25">
        <v>0.79803229998143677</v>
      </c>
      <c r="U25">
        <v>1.5136621992108019</v>
      </c>
      <c r="V25" t="s">
        <v>281</v>
      </c>
      <c r="X25">
        <f t="shared" si="2"/>
        <v>1.7256006935310744</v>
      </c>
      <c r="Y25">
        <f t="shared" si="3"/>
        <v>2.1623193617240983</v>
      </c>
    </row>
    <row r="26" spans="1:25" x14ac:dyDescent="0.25">
      <c r="A26" s="13" t="s">
        <v>104</v>
      </c>
      <c r="B26">
        <v>3.0089795055989859</v>
      </c>
      <c r="C26">
        <v>3.080333760190693</v>
      </c>
      <c r="D26" t="s">
        <v>105</v>
      </c>
      <c r="F26" s="13" t="s">
        <v>104</v>
      </c>
      <c r="G26">
        <v>0.69707677481529073</v>
      </c>
      <c r="H26">
        <v>1.1743506290143511</v>
      </c>
      <c r="I26" t="s">
        <v>174</v>
      </c>
      <c r="K26">
        <f t="shared" si="0"/>
        <v>2.3119027307836952</v>
      </c>
      <c r="L26">
        <f t="shared" si="1"/>
        <v>3.3165682953592825</v>
      </c>
      <c r="N26" s="13" t="s">
        <v>104</v>
      </c>
      <c r="O26">
        <v>2.4048192771084338</v>
      </c>
      <c r="P26">
        <v>2.8707116362073761</v>
      </c>
      <c r="Q26" t="s">
        <v>228</v>
      </c>
      <c r="S26" s="13" t="s">
        <v>104</v>
      </c>
      <c r="T26">
        <v>0.76758863931687393</v>
      </c>
      <c r="U26">
        <v>1.4193912608961949</v>
      </c>
      <c r="V26" t="s">
        <v>282</v>
      </c>
      <c r="X26">
        <f t="shared" si="2"/>
        <v>1.6372306377915598</v>
      </c>
      <c r="Y26">
        <f t="shared" si="3"/>
        <v>2.1329531912413864</v>
      </c>
    </row>
    <row r="27" spans="1:25" x14ac:dyDescent="0.25">
      <c r="A27" s="13" t="s">
        <v>106</v>
      </c>
      <c r="B27">
        <v>2.108282273399535</v>
      </c>
      <c r="C27">
        <v>2.1327326149184702</v>
      </c>
      <c r="D27" t="s">
        <v>107</v>
      </c>
      <c r="F27" s="13" t="s">
        <v>106</v>
      </c>
      <c r="G27">
        <v>0.52628761109326483</v>
      </c>
      <c r="H27">
        <v>0.89693180106343606</v>
      </c>
      <c r="I27" t="s">
        <v>175</v>
      </c>
      <c r="K27">
        <f t="shared" si="0"/>
        <v>1.5819946623062702</v>
      </c>
      <c r="L27">
        <f t="shared" si="1"/>
        <v>3.005950793749391</v>
      </c>
      <c r="N27" s="13" t="s">
        <v>106</v>
      </c>
      <c r="O27">
        <v>1.9820203892493049</v>
      </c>
      <c r="P27">
        <v>2.0850144190158759</v>
      </c>
      <c r="Q27" t="s">
        <v>229</v>
      </c>
      <c r="S27" s="13" t="s">
        <v>106</v>
      </c>
      <c r="T27">
        <v>0.56302209021718952</v>
      </c>
      <c r="U27">
        <v>1.076308174785181</v>
      </c>
      <c r="V27" t="s">
        <v>283</v>
      </c>
      <c r="X27">
        <f t="shared" si="2"/>
        <v>1.4189982990321153</v>
      </c>
      <c r="Y27">
        <f t="shared" si="3"/>
        <v>2.5203243774764275</v>
      </c>
    </row>
    <row r="28" spans="1:25" x14ac:dyDescent="0.25">
      <c r="A28" s="13" t="s">
        <v>108</v>
      </c>
      <c r="B28">
        <v>8.1128248468201978</v>
      </c>
      <c r="C28">
        <v>6.0802304765550756</v>
      </c>
      <c r="D28" t="s">
        <v>109</v>
      </c>
      <c r="F28" s="13" t="s">
        <v>108</v>
      </c>
      <c r="G28">
        <v>1.4999464610772031</v>
      </c>
      <c r="H28">
        <v>1.893466745824838</v>
      </c>
      <c r="I28" t="s">
        <v>176</v>
      </c>
      <c r="K28">
        <f t="shared" si="0"/>
        <v>6.6128783857429951</v>
      </c>
      <c r="L28">
        <f t="shared" si="1"/>
        <v>4.4087429500609536</v>
      </c>
      <c r="N28" s="13" t="s">
        <v>108</v>
      </c>
      <c r="O28">
        <v>7.0685820203892504</v>
      </c>
      <c r="P28">
        <v>5.0420299602658067</v>
      </c>
      <c r="Q28" t="s">
        <v>230</v>
      </c>
      <c r="S28" s="13" t="s">
        <v>108</v>
      </c>
      <c r="T28">
        <v>1.777241507332467</v>
      </c>
      <c r="U28">
        <v>2.4643273644602162</v>
      </c>
      <c r="V28" t="s">
        <v>284</v>
      </c>
      <c r="X28">
        <f t="shared" si="2"/>
        <v>5.2913405130567837</v>
      </c>
      <c r="Y28">
        <f t="shared" si="3"/>
        <v>2.9772771405720593</v>
      </c>
    </row>
    <row r="29" spans="1:25" x14ac:dyDescent="0.25">
      <c r="A29" s="13" t="s">
        <v>110</v>
      </c>
      <c r="B29">
        <v>1.2685400380308469</v>
      </c>
      <c r="C29">
        <v>1.593614145827619</v>
      </c>
      <c r="D29" t="s">
        <v>111</v>
      </c>
      <c r="F29" s="13" t="s">
        <v>110</v>
      </c>
      <c r="G29">
        <v>0.5571260306242638</v>
      </c>
      <c r="H29">
        <v>1.0993813006571109</v>
      </c>
      <c r="I29" t="s">
        <v>177</v>
      </c>
      <c r="K29">
        <f t="shared" si="0"/>
        <v>0.71141400740658312</v>
      </c>
      <c r="L29">
        <f t="shared" si="1"/>
        <v>1.2769355016663617</v>
      </c>
      <c r="N29" s="13" t="s">
        <v>110</v>
      </c>
      <c r="O29">
        <v>1.25949953660797</v>
      </c>
      <c r="P29">
        <v>1.681581428593818</v>
      </c>
      <c r="Q29" t="s">
        <v>231</v>
      </c>
      <c r="S29" s="13" t="s">
        <v>110</v>
      </c>
      <c r="T29">
        <v>0.62038240207907924</v>
      </c>
      <c r="U29">
        <v>1.20792976653385</v>
      </c>
      <c r="V29" t="s">
        <v>285</v>
      </c>
      <c r="X29">
        <f t="shared" si="2"/>
        <v>0.63911713452889074</v>
      </c>
      <c r="Y29">
        <f t="shared" si="3"/>
        <v>1.0301986845323563</v>
      </c>
    </row>
    <row r="30" spans="1:25" x14ac:dyDescent="0.25">
      <c r="A30" s="13" t="s">
        <v>112</v>
      </c>
      <c r="B30">
        <v>1.954679907035707</v>
      </c>
      <c r="C30">
        <v>2.3224383255598862</v>
      </c>
      <c r="D30" t="s">
        <v>113</v>
      </c>
      <c r="F30" s="13" t="s">
        <v>112</v>
      </c>
      <c r="G30">
        <v>0.42756183745583037</v>
      </c>
      <c r="H30">
        <v>0.96666131370855002</v>
      </c>
      <c r="I30" t="s">
        <v>178</v>
      </c>
      <c r="K30">
        <f t="shared" si="0"/>
        <v>1.5271180695798767</v>
      </c>
      <c r="L30">
        <f t="shared" si="1"/>
        <v>3.5716893693479763</v>
      </c>
      <c r="N30" s="13" t="s">
        <v>112</v>
      </c>
      <c r="O30">
        <v>1.8242817423540321</v>
      </c>
      <c r="P30">
        <v>2.4239037594099422</v>
      </c>
      <c r="Q30" t="s">
        <v>232</v>
      </c>
      <c r="S30" s="13" t="s">
        <v>112</v>
      </c>
      <c r="T30">
        <v>0.54909968442546875</v>
      </c>
      <c r="U30">
        <v>1.334631347708775</v>
      </c>
      <c r="V30" t="s">
        <v>286</v>
      </c>
      <c r="X30">
        <f t="shared" si="2"/>
        <v>1.2751820579285633</v>
      </c>
      <c r="Y30">
        <f t="shared" si="3"/>
        <v>2.3223143157745674</v>
      </c>
    </row>
    <row r="31" spans="1:25" x14ac:dyDescent="0.25">
      <c r="A31" s="13" t="s">
        <v>114</v>
      </c>
      <c r="B31">
        <v>1.6576167335727869</v>
      </c>
      <c r="C31">
        <v>2.1309813327227989</v>
      </c>
      <c r="D31" t="s">
        <v>115</v>
      </c>
      <c r="F31" s="13" t="s">
        <v>114</v>
      </c>
      <c r="G31">
        <v>0.67598243923332257</v>
      </c>
      <c r="H31">
        <v>1.091229608458518</v>
      </c>
      <c r="I31" t="s">
        <v>179</v>
      </c>
      <c r="K31">
        <f t="shared" si="0"/>
        <v>0.98163429433946436</v>
      </c>
      <c r="L31">
        <f t="shared" si="1"/>
        <v>1.4521594606108441</v>
      </c>
      <c r="N31" s="13" t="s">
        <v>114</v>
      </c>
      <c r="O31">
        <v>1.93531047265987</v>
      </c>
      <c r="P31">
        <v>2.427839680931732</v>
      </c>
      <c r="Q31" t="s">
        <v>233</v>
      </c>
      <c r="S31" s="13" t="s">
        <v>114</v>
      </c>
      <c r="T31">
        <v>0.73788750696120287</v>
      </c>
      <c r="U31">
        <v>1.185527998695322</v>
      </c>
      <c r="V31" t="s">
        <v>287</v>
      </c>
      <c r="X31">
        <f t="shared" si="2"/>
        <v>1.1974229656986672</v>
      </c>
      <c r="Y31">
        <f t="shared" si="3"/>
        <v>1.622771702193389</v>
      </c>
    </row>
    <row r="32" spans="1:25" x14ac:dyDescent="0.25">
      <c r="A32" s="13" t="s">
        <v>116</v>
      </c>
      <c r="B32">
        <v>0.58166068032960072</v>
      </c>
      <c r="C32">
        <v>1.265970405051587</v>
      </c>
      <c r="D32" t="s">
        <v>117</v>
      </c>
      <c r="F32" s="13" t="s">
        <v>116</v>
      </c>
      <c r="G32">
        <v>0.31052575222186529</v>
      </c>
      <c r="H32">
        <v>0.72390531669165059</v>
      </c>
      <c r="I32" t="s">
        <v>180</v>
      </c>
      <c r="K32">
        <f t="shared" si="0"/>
        <v>0.27113492810773543</v>
      </c>
      <c r="L32">
        <f t="shared" si="1"/>
        <v>0.8731479633097039</v>
      </c>
      <c r="N32" s="13" t="s">
        <v>116</v>
      </c>
      <c r="O32">
        <v>0.6613531047265987</v>
      </c>
      <c r="P32">
        <v>1.317454492880562</v>
      </c>
      <c r="Q32" t="s">
        <v>234</v>
      </c>
      <c r="S32" s="13" t="s">
        <v>116</v>
      </c>
      <c r="T32">
        <v>0.28587339892333402</v>
      </c>
      <c r="U32">
        <v>0.70087672083260288</v>
      </c>
      <c r="V32" t="s">
        <v>288</v>
      </c>
      <c r="X32">
        <f t="shared" si="2"/>
        <v>0.37547970580326467</v>
      </c>
      <c r="Y32">
        <f t="shared" si="3"/>
        <v>1.313447516339082</v>
      </c>
    </row>
    <row r="33" spans="1:25" x14ac:dyDescent="0.25">
      <c r="A33" s="13" t="s">
        <v>118</v>
      </c>
      <c r="B33">
        <v>0.38601309951405027</v>
      </c>
      <c r="C33">
        <v>0.95793779068175111</v>
      </c>
      <c r="D33" t="s">
        <v>119</v>
      </c>
      <c r="F33" s="13" t="s">
        <v>118</v>
      </c>
      <c r="G33">
        <v>0.20173466109861871</v>
      </c>
      <c r="H33">
        <v>0.55611747096946806</v>
      </c>
      <c r="I33" t="s">
        <v>181</v>
      </c>
      <c r="K33">
        <f t="shared" si="0"/>
        <v>0.18427843841543157</v>
      </c>
      <c r="L33">
        <f t="shared" si="1"/>
        <v>0.91346939297330965</v>
      </c>
      <c r="N33" s="13" t="s">
        <v>118</v>
      </c>
      <c r="O33">
        <v>0.35366079703429099</v>
      </c>
      <c r="P33">
        <v>0.95730270862830225</v>
      </c>
      <c r="Q33" t="s">
        <v>235</v>
      </c>
      <c r="S33" s="13" t="s">
        <v>118</v>
      </c>
      <c r="T33">
        <v>0.22628550213476889</v>
      </c>
      <c r="U33">
        <v>0.6366626998720859</v>
      </c>
      <c r="V33" t="s">
        <v>289</v>
      </c>
      <c r="X33">
        <f t="shared" si="2"/>
        <v>0.1273752948995221</v>
      </c>
      <c r="Y33">
        <f t="shared" si="3"/>
        <v>0.5628964016601522</v>
      </c>
    </row>
    <row r="34" spans="1:25" x14ac:dyDescent="0.25">
      <c r="A34" s="13" t="s">
        <v>120</v>
      </c>
      <c r="B34">
        <v>0.2084301711388126</v>
      </c>
      <c r="C34">
        <v>0.62605577154967806</v>
      </c>
      <c r="D34" t="s">
        <v>121</v>
      </c>
      <c r="F34" s="13" t="s">
        <v>120</v>
      </c>
      <c r="G34">
        <v>7.9772994967341262E-2</v>
      </c>
      <c r="H34">
        <v>0.32913255909975803</v>
      </c>
      <c r="I34" t="s">
        <v>182</v>
      </c>
      <c r="K34">
        <f t="shared" si="0"/>
        <v>0.12865717617147132</v>
      </c>
      <c r="L34">
        <f t="shared" si="1"/>
        <v>1.6127910983427793</v>
      </c>
      <c r="N34" s="13" t="s">
        <v>120</v>
      </c>
      <c r="O34">
        <v>0.3264133456904541</v>
      </c>
      <c r="P34">
        <v>0.82824021266627523</v>
      </c>
      <c r="Q34" t="s">
        <v>236</v>
      </c>
      <c r="S34" s="13" t="s">
        <v>120</v>
      </c>
      <c r="T34">
        <v>0.1132355671059959</v>
      </c>
      <c r="U34">
        <v>0.41663477379087721</v>
      </c>
      <c r="V34" t="s">
        <v>290</v>
      </c>
      <c r="X34">
        <f t="shared" si="2"/>
        <v>0.21317777858445819</v>
      </c>
      <c r="Y34">
        <f t="shared" si="3"/>
        <v>1.882604415138486</v>
      </c>
    </row>
    <row r="35" spans="1:25" x14ac:dyDescent="0.25">
      <c r="A35" s="13" t="s">
        <v>122</v>
      </c>
      <c r="B35">
        <v>1.5744770758504121</v>
      </c>
      <c r="C35">
        <v>3.327390269799567</v>
      </c>
      <c r="D35" t="s">
        <v>123</v>
      </c>
      <c r="F35" s="13" t="s">
        <v>122</v>
      </c>
      <c r="G35">
        <v>0.68433451118963484</v>
      </c>
      <c r="H35">
        <v>1.521580962310173</v>
      </c>
      <c r="I35" t="s">
        <v>183</v>
      </c>
      <c r="K35">
        <f t="shared" si="0"/>
        <v>0.89014256466077724</v>
      </c>
      <c r="L35">
        <f t="shared" si="1"/>
        <v>1.3007418888072286</v>
      </c>
      <c r="N35" s="13" t="s">
        <v>122</v>
      </c>
      <c r="O35">
        <v>2.1417979610750701</v>
      </c>
      <c r="P35">
        <v>4.539296646529527</v>
      </c>
      <c r="Q35" t="s">
        <v>237</v>
      </c>
      <c r="S35" s="13" t="s">
        <v>122</v>
      </c>
      <c r="T35">
        <v>0.93298682012251721</v>
      </c>
      <c r="U35">
        <v>2.0679511307883152</v>
      </c>
      <c r="V35" t="s">
        <v>291</v>
      </c>
      <c r="X35">
        <f t="shared" si="2"/>
        <v>1.208811140952553</v>
      </c>
      <c r="Y35">
        <f t="shared" si="3"/>
        <v>1.2956358170138087</v>
      </c>
    </row>
    <row r="36" spans="1:25" x14ac:dyDescent="0.25">
      <c r="A36" s="13" t="s">
        <v>41</v>
      </c>
      <c r="B36">
        <v>0.38083667863934079</v>
      </c>
      <c r="C36">
        <v>1.1051473369636291</v>
      </c>
      <c r="D36" t="s">
        <v>124</v>
      </c>
      <c r="F36" s="13" t="s">
        <v>41</v>
      </c>
      <c r="G36">
        <v>0.19605953528215009</v>
      </c>
      <c r="H36">
        <v>0.57282044204443883</v>
      </c>
      <c r="I36" t="s">
        <v>184</v>
      </c>
      <c r="K36">
        <f t="shared" si="0"/>
        <v>0.1847771433571907</v>
      </c>
      <c r="L36">
        <f t="shared" si="1"/>
        <v>0.94245425549579698</v>
      </c>
      <c r="N36" s="13" t="s">
        <v>41</v>
      </c>
      <c r="O36">
        <v>0.48785912882298432</v>
      </c>
      <c r="P36">
        <v>1.4692469028135211</v>
      </c>
      <c r="Q36" t="s">
        <v>238</v>
      </c>
      <c r="S36" s="13" t="s">
        <v>41</v>
      </c>
      <c r="T36">
        <v>0.2331538889920178</v>
      </c>
      <c r="U36">
        <v>0.6997371947686295</v>
      </c>
      <c r="V36" t="s">
        <v>292</v>
      </c>
      <c r="X36">
        <f t="shared" si="2"/>
        <v>0.25470523983096649</v>
      </c>
      <c r="Y36">
        <f t="shared" si="3"/>
        <v>1.0924340182877521</v>
      </c>
    </row>
    <row r="37" spans="1:25" x14ac:dyDescent="0.25">
      <c r="A37" s="13" t="s">
        <v>42</v>
      </c>
      <c r="B37">
        <v>0.88474540460595819</v>
      </c>
      <c r="C37">
        <v>2.3894745698943312</v>
      </c>
      <c r="D37" t="s">
        <v>125</v>
      </c>
      <c r="F37" s="13" t="s">
        <v>42</v>
      </c>
      <c r="G37">
        <v>0.28065103330121</v>
      </c>
      <c r="H37">
        <v>1.006692833325028</v>
      </c>
      <c r="I37" t="s">
        <v>185</v>
      </c>
      <c r="K37">
        <f t="shared" si="0"/>
        <v>0.60409437130474819</v>
      </c>
      <c r="L37">
        <f t="shared" si="1"/>
        <v>2.1524751368237478</v>
      </c>
      <c r="N37" s="13" t="s">
        <v>42</v>
      </c>
      <c r="O37">
        <v>1.1964782205746061</v>
      </c>
      <c r="P37">
        <v>3.2228367176104342</v>
      </c>
      <c r="Q37" t="s">
        <v>239</v>
      </c>
      <c r="S37" s="13" t="s">
        <v>42</v>
      </c>
      <c r="T37">
        <v>0.45052905142008542</v>
      </c>
      <c r="U37">
        <v>1.5297256374413759</v>
      </c>
      <c r="V37" t="s">
        <v>293</v>
      </c>
      <c r="X37">
        <f t="shared" si="2"/>
        <v>0.74594916915452059</v>
      </c>
      <c r="Y37">
        <f t="shared" si="3"/>
        <v>1.6557182423714059</v>
      </c>
    </row>
    <row r="38" spans="1:25" x14ac:dyDescent="0.25">
      <c r="A38" s="13" t="s">
        <v>43</v>
      </c>
      <c r="B38">
        <v>0.18677371645890559</v>
      </c>
      <c r="C38">
        <v>0.80027623791938896</v>
      </c>
      <c r="D38" t="s">
        <v>126</v>
      </c>
      <c r="F38" s="13" t="s">
        <v>43</v>
      </c>
      <c r="G38">
        <v>0.1036513545347468</v>
      </c>
      <c r="H38">
        <v>0.40920882463083191</v>
      </c>
      <c r="I38" t="s">
        <v>186</v>
      </c>
      <c r="K38">
        <f t="shared" si="0"/>
        <v>8.3122361924158783E-2</v>
      </c>
      <c r="L38">
        <f t="shared" si="1"/>
        <v>0.80194187810921336</v>
      </c>
      <c r="N38" s="13" t="s">
        <v>43</v>
      </c>
      <c r="O38">
        <v>0.19833178869323451</v>
      </c>
      <c r="P38">
        <v>0.71477144435648277</v>
      </c>
      <c r="Q38" t="s">
        <v>240</v>
      </c>
      <c r="S38" s="13" t="s">
        <v>43</v>
      </c>
      <c r="T38">
        <v>0.10209764247261929</v>
      </c>
      <c r="U38">
        <v>0.44734773461239358</v>
      </c>
      <c r="V38" t="s">
        <v>294</v>
      </c>
      <c r="X38">
        <f t="shared" si="2"/>
        <v>9.6234146220615213E-2</v>
      </c>
      <c r="Y38">
        <f t="shared" si="3"/>
        <v>0.94256971943718915</v>
      </c>
    </row>
    <row r="39" spans="1:25" x14ac:dyDescent="0.25">
      <c r="A39" s="13" t="s">
        <v>127</v>
      </c>
      <c r="B39">
        <v>0.22638918233678429</v>
      </c>
      <c r="C39">
        <v>1.1622631248083199</v>
      </c>
      <c r="D39" t="s">
        <v>128</v>
      </c>
      <c r="F39" s="13" t="s">
        <v>127</v>
      </c>
      <c r="G39">
        <v>0.121319199057715</v>
      </c>
      <c r="H39">
        <v>0.56676207444811222</v>
      </c>
      <c r="I39" t="s">
        <v>187</v>
      </c>
      <c r="K39">
        <f t="shared" si="0"/>
        <v>0.10506998327906929</v>
      </c>
      <c r="L39">
        <f t="shared" si="1"/>
        <v>0.86606228935854168</v>
      </c>
      <c r="N39" s="13" t="s">
        <v>127</v>
      </c>
      <c r="O39">
        <v>0.34958294717330862</v>
      </c>
      <c r="P39">
        <v>1.532534727887843</v>
      </c>
      <c r="Q39" t="s">
        <v>241</v>
      </c>
      <c r="S39" s="13" t="s">
        <v>127</v>
      </c>
      <c r="T39">
        <v>0.16614070911453499</v>
      </c>
      <c r="U39">
        <v>0.69268954199269883</v>
      </c>
      <c r="V39" t="s">
        <v>295</v>
      </c>
      <c r="X39">
        <f t="shared" si="2"/>
        <v>0.18344223805877363</v>
      </c>
      <c r="Y39">
        <f t="shared" si="3"/>
        <v>1.1041378060587861</v>
      </c>
    </row>
    <row r="40" spans="1:25" x14ac:dyDescent="0.25">
      <c r="A40" s="13" t="s">
        <v>129</v>
      </c>
      <c r="B40">
        <v>18.832136065920139</v>
      </c>
      <c r="C40">
        <v>10.45887609605751</v>
      </c>
      <c r="D40" t="s">
        <v>130</v>
      </c>
      <c r="F40" s="13" t="s">
        <v>129</v>
      </c>
      <c r="G40">
        <v>6.2147981582610559</v>
      </c>
      <c r="H40">
        <v>5.0860565452696296</v>
      </c>
      <c r="I40" t="s">
        <v>188</v>
      </c>
      <c r="K40">
        <f t="shared" si="0"/>
        <v>12.617337907659083</v>
      </c>
      <c r="L40">
        <f t="shared" si="1"/>
        <v>2.0302087994422497</v>
      </c>
      <c r="N40" s="13" t="s">
        <v>129</v>
      </c>
      <c r="O40">
        <v>18.15940685820204</v>
      </c>
      <c r="P40">
        <v>10.528074920501471</v>
      </c>
      <c r="Q40" t="s">
        <v>242</v>
      </c>
      <c r="S40" s="13" t="s">
        <v>129</v>
      </c>
      <c r="T40">
        <v>6.7000185632077223</v>
      </c>
      <c r="U40">
        <v>7.004285330875188</v>
      </c>
      <c r="V40" t="s">
        <v>296</v>
      </c>
      <c r="X40">
        <f t="shared" si="2"/>
        <v>11.459388294994318</v>
      </c>
      <c r="Y40">
        <f t="shared" si="3"/>
        <v>1.710351723191045</v>
      </c>
    </row>
    <row r="41" spans="1:25" x14ac:dyDescent="0.25">
      <c r="A41" s="13" t="s">
        <v>46</v>
      </c>
      <c r="B41">
        <v>3.6324741178956259</v>
      </c>
      <c r="C41">
        <v>2.97676115407782</v>
      </c>
      <c r="D41" t="s">
        <v>131</v>
      </c>
      <c r="F41" s="13" t="s">
        <v>46</v>
      </c>
      <c r="G41">
        <v>1.0239854374129991</v>
      </c>
      <c r="H41">
        <v>1.406035519309988</v>
      </c>
      <c r="I41" t="s">
        <v>189</v>
      </c>
      <c r="K41">
        <f t="shared" si="0"/>
        <v>2.6084886804826271</v>
      </c>
      <c r="L41">
        <f t="shared" si="1"/>
        <v>2.547388454149039</v>
      </c>
      <c r="N41" s="13" t="s">
        <v>46</v>
      </c>
      <c r="O41">
        <v>3.8281742354031509</v>
      </c>
      <c r="P41">
        <v>3.1105486771765318</v>
      </c>
      <c r="Q41" t="s">
        <v>243</v>
      </c>
      <c r="S41" s="13" t="s">
        <v>46</v>
      </c>
      <c r="T41">
        <v>1.3796175979209211</v>
      </c>
      <c r="U41">
        <v>1.946303017229789</v>
      </c>
      <c r="V41" t="s">
        <v>297</v>
      </c>
      <c r="X41">
        <f t="shared" si="2"/>
        <v>2.4485566374822296</v>
      </c>
      <c r="Y41">
        <f t="shared" si="3"/>
        <v>1.7748082085733003</v>
      </c>
    </row>
    <row r="42" spans="1:25" x14ac:dyDescent="0.25">
      <c r="A42" s="13" t="s">
        <v>47</v>
      </c>
      <c r="B42">
        <v>9.5388759771814922</v>
      </c>
      <c r="C42">
        <v>6.1719864859985627</v>
      </c>
      <c r="D42" t="s">
        <v>132</v>
      </c>
      <c r="F42" s="13" t="s">
        <v>47</v>
      </c>
      <c r="G42">
        <v>2.499303994003641</v>
      </c>
      <c r="H42">
        <v>2.5999972295972071</v>
      </c>
      <c r="I42" t="s">
        <v>190</v>
      </c>
      <c r="K42">
        <f t="shared" si="0"/>
        <v>7.0395719831778507</v>
      </c>
      <c r="L42">
        <f t="shared" si="1"/>
        <v>2.8166129450708168</v>
      </c>
      <c r="N42" s="13" t="s">
        <v>47</v>
      </c>
      <c r="O42">
        <v>8.8113067655236321</v>
      </c>
      <c r="P42">
        <v>5.9893600859687997</v>
      </c>
      <c r="Q42" t="s">
        <v>244</v>
      </c>
      <c r="S42" s="13" t="s">
        <v>47</v>
      </c>
      <c r="T42">
        <v>2.758121403378504</v>
      </c>
      <c r="U42">
        <v>3.5134834490345681</v>
      </c>
      <c r="V42" t="s">
        <v>298</v>
      </c>
      <c r="X42">
        <f t="shared" si="2"/>
        <v>6.0531853621451281</v>
      </c>
      <c r="Y42">
        <f t="shared" si="3"/>
        <v>2.1946769111506126</v>
      </c>
    </row>
    <row r="43" spans="1:25" x14ac:dyDescent="0.25">
      <c r="A43" s="13" t="s">
        <v>48</v>
      </c>
      <c r="B43">
        <v>6.9805620114092539</v>
      </c>
      <c r="C43">
        <v>4.5583199031172326</v>
      </c>
      <c r="D43" t="s">
        <v>133</v>
      </c>
      <c r="F43" s="13" t="s">
        <v>48</v>
      </c>
      <c r="G43">
        <v>3.1992718706499619</v>
      </c>
      <c r="H43">
        <v>2.9622121278850089</v>
      </c>
      <c r="I43" t="s">
        <v>191</v>
      </c>
      <c r="K43">
        <f t="shared" si="0"/>
        <v>3.781290140759292</v>
      </c>
      <c r="L43">
        <f t="shared" si="1"/>
        <v>1.1819221040414698</v>
      </c>
      <c r="N43" s="13" t="s">
        <v>48</v>
      </c>
      <c r="O43">
        <v>6.7918443002780364</v>
      </c>
      <c r="P43">
        <v>4.9503886723063291</v>
      </c>
      <c r="Q43" t="s">
        <v>245</v>
      </c>
      <c r="S43" s="13" t="s">
        <v>48</v>
      </c>
      <c r="T43">
        <v>3.135697048449972</v>
      </c>
      <c r="U43">
        <v>3.5464611697249282</v>
      </c>
      <c r="V43" t="s">
        <v>299</v>
      </c>
      <c r="X43">
        <f t="shared" si="2"/>
        <v>3.6561472518280644</v>
      </c>
      <c r="Y43">
        <f t="shared" si="3"/>
        <v>1.1659759202934989</v>
      </c>
    </row>
    <row r="44" spans="1:25" x14ac:dyDescent="0.25">
      <c r="A44" s="13" t="s">
        <v>49</v>
      </c>
      <c r="B44">
        <v>13.20409888020283</v>
      </c>
      <c r="C44">
        <v>9.8501272028676272</v>
      </c>
      <c r="D44" t="s">
        <v>134</v>
      </c>
      <c r="F44" s="13" t="s">
        <v>49</v>
      </c>
      <c r="G44">
        <v>3.165006960059964</v>
      </c>
      <c r="H44">
        <v>3.1729393043249221</v>
      </c>
      <c r="I44" t="s">
        <v>192</v>
      </c>
      <c r="K44">
        <f t="shared" si="0"/>
        <v>10.039091920142866</v>
      </c>
      <c r="L44">
        <f t="shared" si="1"/>
        <v>3.1719020042700525</v>
      </c>
      <c r="N44" s="13" t="s">
        <v>49</v>
      </c>
      <c r="O44">
        <v>13.545690454124189</v>
      </c>
      <c r="P44">
        <v>10.641453974723319</v>
      </c>
      <c r="Q44" t="s">
        <v>246</v>
      </c>
      <c r="S44" s="13" t="s">
        <v>49</v>
      </c>
      <c r="T44">
        <v>4.1188045294226843</v>
      </c>
      <c r="U44">
        <v>5.3109399717057197</v>
      </c>
      <c r="V44" t="s">
        <v>300</v>
      </c>
      <c r="X44">
        <f t="shared" si="2"/>
        <v>9.4268859247015051</v>
      </c>
      <c r="Y44">
        <f t="shared" si="3"/>
        <v>2.2887432159891388</v>
      </c>
    </row>
    <row r="45" spans="1:25" x14ac:dyDescent="0.25">
      <c r="A45" s="13" t="s">
        <v>50</v>
      </c>
      <c r="B45">
        <v>6.7266004648214661</v>
      </c>
      <c r="C45">
        <v>6.3550225716521194</v>
      </c>
      <c r="D45" t="s">
        <v>135</v>
      </c>
      <c r="F45" s="13" t="s">
        <v>50</v>
      </c>
      <c r="G45">
        <v>1.5684762822572009</v>
      </c>
      <c r="H45">
        <v>2.0633820418376021</v>
      </c>
      <c r="I45" t="s">
        <v>193</v>
      </c>
      <c r="K45">
        <f t="shared" si="0"/>
        <v>5.158124182564265</v>
      </c>
      <c r="L45">
        <f t="shared" si="1"/>
        <v>3.2886210909999778</v>
      </c>
      <c r="N45" s="13" t="s">
        <v>50</v>
      </c>
      <c r="O45">
        <v>6.9809082483781282</v>
      </c>
      <c r="P45">
        <v>7.0867686740204308</v>
      </c>
      <c r="Q45" t="s">
        <v>247</v>
      </c>
      <c r="S45" s="13" t="s">
        <v>50</v>
      </c>
      <c r="T45">
        <v>2.161685539261184</v>
      </c>
      <c r="U45">
        <v>3.4431398478355981</v>
      </c>
      <c r="V45" t="s">
        <v>301</v>
      </c>
      <c r="X45">
        <f t="shared" si="2"/>
        <v>4.8192227091169446</v>
      </c>
      <c r="Y45">
        <f t="shared" si="3"/>
        <v>2.2293819436679247</v>
      </c>
    </row>
    <row r="46" spans="1:25" x14ac:dyDescent="0.25">
      <c r="A46" s="13" t="s">
        <v>136</v>
      </c>
      <c r="B46">
        <v>5.9266849778153388</v>
      </c>
      <c r="C46">
        <v>5.2786397839586181</v>
      </c>
      <c r="D46" t="s">
        <v>137</v>
      </c>
      <c r="F46" s="13" t="s">
        <v>136</v>
      </c>
      <c r="G46">
        <v>1.0849127315558409</v>
      </c>
      <c r="H46">
        <v>1.489294423559933</v>
      </c>
      <c r="I46" t="s">
        <v>194</v>
      </c>
      <c r="K46">
        <f t="shared" si="0"/>
        <v>4.8417722462594979</v>
      </c>
      <c r="L46">
        <f t="shared" si="1"/>
        <v>4.4628218523309773</v>
      </c>
      <c r="N46" s="13" t="s">
        <v>136</v>
      </c>
      <c r="O46">
        <v>5.7868396663577384</v>
      </c>
      <c r="P46">
        <v>5.2657741135105907</v>
      </c>
      <c r="Q46" t="s">
        <v>248</v>
      </c>
      <c r="S46" s="13" t="s">
        <v>136</v>
      </c>
      <c r="T46">
        <v>1.2873584555411171</v>
      </c>
      <c r="U46">
        <v>2.1592368922160241</v>
      </c>
      <c r="V46" t="s">
        <v>302</v>
      </c>
      <c r="X46">
        <f t="shared" si="2"/>
        <v>4.4994812108166213</v>
      </c>
      <c r="Y46">
        <f t="shared" si="3"/>
        <v>3.4951269333336912</v>
      </c>
    </row>
    <row r="47" spans="1:25" x14ac:dyDescent="0.25">
      <c r="A47" s="13" t="s">
        <v>52</v>
      </c>
      <c r="B47">
        <v>1.1544474963025571</v>
      </c>
      <c r="C47">
        <v>2.0583715851895801</v>
      </c>
      <c r="D47" t="s">
        <v>138</v>
      </c>
      <c r="F47" s="13" t="s">
        <v>52</v>
      </c>
      <c r="G47">
        <v>0.3380447585394582</v>
      </c>
      <c r="H47">
        <v>0.74190084666119926</v>
      </c>
      <c r="I47" t="s">
        <v>195</v>
      </c>
      <c r="K47">
        <f t="shared" si="0"/>
        <v>0.81640273776309891</v>
      </c>
      <c r="L47">
        <f t="shared" si="1"/>
        <v>2.4150729071807349</v>
      </c>
      <c r="N47" s="13" t="s">
        <v>52</v>
      </c>
      <c r="O47">
        <v>1.4300278035217791</v>
      </c>
      <c r="P47">
        <v>2.3390074355229169</v>
      </c>
      <c r="Q47" t="s">
        <v>249</v>
      </c>
      <c r="S47" s="13" t="s">
        <v>52</v>
      </c>
      <c r="T47">
        <v>0.5344347503248561</v>
      </c>
      <c r="U47">
        <v>1.369822382433588</v>
      </c>
      <c r="V47" t="s">
        <v>303</v>
      </c>
      <c r="X47">
        <f t="shared" si="2"/>
        <v>0.89559305319692295</v>
      </c>
      <c r="Y47">
        <f t="shared" si="3"/>
        <v>1.6757762339603419</v>
      </c>
    </row>
    <row r="48" spans="1:25" x14ac:dyDescent="0.25">
      <c r="A48" s="13" t="s">
        <v>53</v>
      </c>
      <c r="B48">
        <v>0.44147475174308048</v>
      </c>
      <c r="C48">
        <v>1.138301020910822</v>
      </c>
      <c r="D48" t="s">
        <v>139</v>
      </c>
      <c r="F48" s="13" t="s">
        <v>53</v>
      </c>
      <c r="G48">
        <v>0.13620301959524581</v>
      </c>
      <c r="H48">
        <v>0.51041306718314028</v>
      </c>
      <c r="I48" t="s">
        <v>196</v>
      </c>
      <c r="K48">
        <f t="shared" si="0"/>
        <v>0.30527173214783465</v>
      </c>
      <c r="L48">
        <f t="shared" si="1"/>
        <v>2.2412992975853983</v>
      </c>
      <c r="N48" s="13" t="s">
        <v>53</v>
      </c>
      <c r="O48">
        <v>0.59147358665430949</v>
      </c>
      <c r="P48">
        <v>1.4706123686346639</v>
      </c>
      <c r="Q48" t="s">
        <v>250</v>
      </c>
      <c r="S48" s="13" t="s">
        <v>53</v>
      </c>
      <c r="T48">
        <v>0.2299981436792278</v>
      </c>
      <c r="U48">
        <v>0.77488811884608366</v>
      </c>
      <c r="V48" t="s">
        <v>304</v>
      </c>
      <c r="X48">
        <f t="shared" si="2"/>
        <v>0.36147544297508172</v>
      </c>
      <c r="Y48">
        <f t="shared" si="3"/>
        <v>1.5716450454453308</v>
      </c>
    </row>
    <row r="49" spans="1:25" x14ac:dyDescent="0.25">
      <c r="A49" s="13" t="s">
        <v>54</v>
      </c>
      <c r="B49">
        <v>1.2308261145151069</v>
      </c>
      <c r="C49">
        <v>2.4895056003463392</v>
      </c>
      <c r="D49" t="s">
        <v>140</v>
      </c>
      <c r="F49" s="13" t="s">
        <v>54</v>
      </c>
      <c r="G49">
        <v>0.37348752543098829</v>
      </c>
      <c r="H49">
        <v>0.99211258200862207</v>
      </c>
      <c r="I49" t="s">
        <v>197</v>
      </c>
      <c r="K49">
        <f t="shared" si="0"/>
        <v>0.85733858908411864</v>
      </c>
      <c r="L49">
        <f t="shared" si="1"/>
        <v>2.2954945766790669</v>
      </c>
      <c r="N49" s="13" t="s">
        <v>54</v>
      </c>
      <c r="O49">
        <v>1.5697868396663579</v>
      </c>
      <c r="P49">
        <v>3.235030132512227</v>
      </c>
      <c r="Q49" t="s">
        <v>251</v>
      </c>
      <c r="S49" s="13" t="s">
        <v>54</v>
      </c>
      <c r="T49">
        <v>0.59996287358455536</v>
      </c>
      <c r="U49">
        <v>1.4879713267563071</v>
      </c>
      <c r="V49" t="s">
        <v>305</v>
      </c>
      <c r="X49">
        <f t="shared" si="2"/>
        <v>0.96982396608180255</v>
      </c>
      <c r="Y49">
        <f t="shared" si="3"/>
        <v>1.6164732999018165</v>
      </c>
    </row>
    <row r="50" spans="1:25" x14ac:dyDescent="0.25">
      <c r="A50" s="13" t="s">
        <v>141</v>
      </c>
      <c r="B50">
        <v>0.55852524825691952</v>
      </c>
      <c r="C50">
        <v>1.9763011391354</v>
      </c>
      <c r="D50" t="s">
        <v>142</v>
      </c>
      <c r="F50" s="13" t="s">
        <v>141</v>
      </c>
      <c r="G50">
        <v>0.22122282899668061</v>
      </c>
      <c r="H50">
        <v>0.76626740450021236</v>
      </c>
      <c r="I50" t="s">
        <v>198</v>
      </c>
      <c r="K50">
        <f t="shared" si="0"/>
        <v>0.33730241926023891</v>
      </c>
      <c r="L50">
        <f t="shared" si="1"/>
        <v>1.5247179542455813</v>
      </c>
      <c r="N50" s="13" t="s">
        <v>141</v>
      </c>
      <c r="O50">
        <v>0.34587581093605191</v>
      </c>
      <c r="P50">
        <v>1.0552581881591461</v>
      </c>
      <c r="Q50" t="s">
        <v>252</v>
      </c>
      <c r="S50" s="13" t="s">
        <v>141</v>
      </c>
      <c r="T50">
        <v>0.17059587896788561</v>
      </c>
      <c r="U50">
        <v>0.60512454292067208</v>
      </c>
      <c r="V50" t="s">
        <v>306</v>
      </c>
      <c r="X50">
        <f t="shared" si="2"/>
        <v>0.1752799319681663</v>
      </c>
      <c r="Y50">
        <f t="shared" si="3"/>
        <v>1.0274570114390773</v>
      </c>
    </row>
    <row r="51" spans="1:25" x14ac:dyDescent="0.25">
      <c r="A51" s="13" t="s">
        <v>56</v>
      </c>
      <c r="B51">
        <v>0.39457004014367208</v>
      </c>
      <c r="C51">
        <v>1.1764227609243429</v>
      </c>
      <c r="D51" t="s">
        <v>143</v>
      </c>
      <c r="F51" s="13" t="s">
        <v>56</v>
      </c>
      <c r="G51">
        <v>0.17978370275190059</v>
      </c>
      <c r="H51">
        <v>0.57460567490409786</v>
      </c>
      <c r="I51" t="s">
        <v>199</v>
      </c>
      <c r="K51">
        <f t="shared" si="0"/>
        <v>0.2147863373917715</v>
      </c>
      <c r="L51">
        <f t="shared" si="1"/>
        <v>1.1946930344858573</v>
      </c>
      <c r="N51" s="13" t="s">
        <v>56</v>
      </c>
      <c r="O51">
        <v>0.21371640407784989</v>
      </c>
      <c r="P51">
        <v>0.78861299347970892</v>
      </c>
      <c r="Q51" t="s">
        <v>253</v>
      </c>
      <c r="S51" s="13" t="s">
        <v>56</v>
      </c>
      <c r="T51">
        <v>0.116391312418786</v>
      </c>
      <c r="U51">
        <v>0.51020456479885912</v>
      </c>
      <c r="V51" t="s">
        <v>216</v>
      </c>
      <c r="X51">
        <f t="shared" si="2"/>
        <v>9.7325091659063889E-2</v>
      </c>
      <c r="Y51">
        <f t="shared" si="3"/>
        <v>0.83618862642324887</v>
      </c>
    </row>
    <row r="52" spans="1:25" x14ac:dyDescent="0.25">
      <c r="A52" s="13" t="s">
        <v>144</v>
      </c>
      <c r="B52">
        <v>2.672723431227551E-2</v>
      </c>
      <c r="C52">
        <v>0.36720241459243419</v>
      </c>
      <c r="D52" t="s">
        <v>145</v>
      </c>
      <c r="F52" s="13" t="s">
        <v>144</v>
      </c>
      <c r="G52">
        <v>3.2337509369311492E-2</v>
      </c>
      <c r="H52">
        <v>0.31663964236222569</v>
      </c>
      <c r="I52" t="s">
        <v>200</v>
      </c>
      <c r="K52">
        <f t="shared" si="0"/>
        <v>-5.6102750570359815E-3</v>
      </c>
      <c r="L52">
        <f t="shared" si="1"/>
        <v>-0.17349125416443387</v>
      </c>
      <c r="N52" s="13" t="s">
        <v>144</v>
      </c>
      <c r="O52">
        <v>2.1130676552363298E-2</v>
      </c>
      <c r="P52">
        <v>0.20268457024498221</v>
      </c>
      <c r="Q52" t="s">
        <v>254</v>
      </c>
      <c r="S52" s="13" t="s">
        <v>144</v>
      </c>
      <c r="T52">
        <v>2.6731019120103949E-2</v>
      </c>
      <c r="U52">
        <v>0.2030910107369743</v>
      </c>
      <c r="V52" t="s">
        <v>307</v>
      </c>
      <c r="X52">
        <f t="shared" si="2"/>
        <v>-5.6003425677406508E-3</v>
      </c>
      <c r="Y52">
        <f t="shared" si="3"/>
        <v>-0.20950725980846452</v>
      </c>
    </row>
    <row r="53" spans="1:25" x14ac:dyDescent="0.25">
      <c r="A53" s="13" t="s">
        <v>58</v>
      </c>
      <c r="B53">
        <v>5.798647792098035</v>
      </c>
      <c r="C53">
        <v>4.5942638928955244</v>
      </c>
      <c r="D53" t="s">
        <v>146</v>
      </c>
      <c r="F53" s="13" t="s">
        <v>58</v>
      </c>
      <c r="G53">
        <v>1.594389120890888</v>
      </c>
      <c r="H53">
        <v>1.8964279187263311</v>
      </c>
      <c r="I53" t="s">
        <v>201</v>
      </c>
      <c r="K53">
        <f t="shared" si="0"/>
        <v>4.204258671207147</v>
      </c>
      <c r="L53">
        <f t="shared" si="1"/>
        <v>2.6369087797450326</v>
      </c>
      <c r="N53" s="13" t="s">
        <v>58</v>
      </c>
      <c r="O53">
        <v>5.0937905468025946</v>
      </c>
      <c r="P53">
        <v>3.663156255598782</v>
      </c>
      <c r="Q53" t="s">
        <v>255</v>
      </c>
      <c r="S53" s="13" t="s">
        <v>58</v>
      </c>
      <c r="T53">
        <v>1.522739929459811</v>
      </c>
      <c r="U53">
        <v>2.0681825832523222</v>
      </c>
      <c r="V53" t="s">
        <v>308</v>
      </c>
      <c r="X53">
        <f t="shared" si="2"/>
        <v>3.5710506173427836</v>
      </c>
      <c r="Y53">
        <f t="shared" si="3"/>
        <v>2.345148076999338</v>
      </c>
    </row>
    <row r="54" spans="1:25" x14ac:dyDescent="0.25">
      <c r="A54" s="13" t="s">
        <v>59</v>
      </c>
      <c r="B54">
        <v>28.718043524191849</v>
      </c>
      <c r="C54">
        <v>17.221574137103541</v>
      </c>
      <c r="D54" t="s">
        <v>147</v>
      </c>
      <c r="F54" s="13" t="s">
        <v>59</v>
      </c>
      <c r="G54">
        <v>12.41835314273477</v>
      </c>
      <c r="H54">
        <v>11.06068123296482</v>
      </c>
      <c r="I54" t="s">
        <v>202</v>
      </c>
      <c r="K54">
        <f t="shared" si="0"/>
        <v>16.299690381457079</v>
      </c>
      <c r="L54">
        <f t="shared" si="1"/>
        <v>1.3125484671043557</v>
      </c>
      <c r="N54" s="13" t="s">
        <v>59</v>
      </c>
      <c r="O54">
        <v>29.907136237256719</v>
      </c>
      <c r="P54">
        <v>19.506596790929422</v>
      </c>
      <c r="Q54" t="s">
        <v>256</v>
      </c>
      <c r="S54" s="13" t="s">
        <v>59</v>
      </c>
      <c r="T54">
        <v>15.070911453499161</v>
      </c>
      <c r="U54">
        <v>13.112604038425831</v>
      </c>
      <c r="V54" t="s">
        <v>309</v>
      </c>
      <c r="X54">
        <f t="shared" si="2"/>
        <v>14.836224783757558</v>
      </c>
      <c r="Y54">
        <f t="shared" si="3"/>
        <v>0.98442783832512581</v>
      </c>
    </row>
    <row r="55" spans="1:25" x14ac:dyDescent="0.25">
      <c r="A55" s="13" t="s">
        <v>148</v>
      </c>
      <c r="B55">
        <v>2.5353898161842381E-3</v>
      </c>
      <c r="C55">
        <v>6.9667651636648453E-2</v>
      </c>
      <c r="D55" t="s">
        <v>149</v>
      </c>
      <c r="F55" s="13" t="s">
        <v>148</v>
      </c>
      <c r="G55">
        <v>2.54845272513117E-2</v>
      </c>
      <c r="H55">
        <v>0.25557285812892078</v>
      </c>
      <c r="I55" t="s">
        <v>203</v>
      </c>
      <c r="K55">
        <f t="shared" si="0"/>
        <v>-2.2949137435127463E-2</v>
      </c>
      <c r="L55">
        <f t="shared" si="1"/>
        <v>-0.90051258196073702</v>
      </c>
      <c r="N55" s="13" t="s">
        <v>148</v>
      </c>
      <c r="O55">
        <v>2.8359592215013898E-2</v>
      </c>
      <c r="P55">
        <v>0.2181345483862778</v>
      </c>
      <c r="Q55" t="s">
        <v>257</v>
      </c>
      <c r="S55" s="13" t="s">
        <v>148</v>
      </c>
      <c r="T55">
        <v>7.2767774271394095E-2</v>
      </c>
      <c r="U55">
        <v>0.34240879983187461</v>
      </c>
      <c r="V55" t="s">
        <v>310</v>
      </c>
      <c r="X55">
        <f t="shared" si="2"/>
        <v>-4.4408182056380197E-2</v>
      </c>
      <c r="Y55">
        <f t="shared" si="3"/>
        <v>-0.61027264473908194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5825-4BAD-4CD0-948E-80D39F77636A}">
  <dimension ref="A1:Y55"/>
  <sheetViews>
    <sheetView workbookViewId="0">
      <selection activeCell="N2" sqref="N2:Q55"/>
    </sheetView>
  </sheetViews>
  <sheetFormatPr defaultRowHeight="13.8" x14ac:dyDescent="0.25"/>
  <sheetData>
    <row r="1" spans="1:25" x14ac:dyDescent="0.25">
      <c r="A1" s="14" t="s">
        <v>150</v>
      </c>
      <c r="F1" s="14" t="s">
        <v>204</v>
      </c>
      <c r="N1" s="14" t="s">
        <v>258</v>
      </c>
      <c r="S1" s="14" t="s">
        <v>311</v>
      </c>
    </row>
    <row r="2" spans="1:25" x14ac:dyDescent="0.25">
      <c r="B2" s="13" t="s">
        <v>61</v>
      </c>
      <c r="C2" s="13" t="s">
        <v>62</v>
      </c>
      <c r="D2" s="13" t="s">
        <v>63</v>
      </c>
      <c r="G2" s="13" t="s">
        <v>61</v>
      </c>
      <c r="H2" s="13" t="s">
        <v>62</v>
      </c>
      <c r="I2" s="13" t="s">
        <v>63</v>
      </c>
      <c r="O2" s="13" t="s">
        <v>61</v>
      </c>
      <c r="P2" s="13" t="s">
        <v>62</v>
      </c>
      <c r="Q2" s="13" t="s">
        <v>63</v>
      </c>
      <c r="T2" s="13" t="s">
        <v>61</v>
      </c>
      <c r="U2" s="13" t="s">
        <v>62</v>
      </c>
      <c r="V2" s="13" t="s">
        <v>63</v>
      </c>
    </row>
    <row r="3" spans="1:25" x14ac:dyDescent="0.25">
      <c r="A3" s="13" t="s">
        <v>64</v>
      </c>
      <c r="B3">
        <v>5.4047077552876974</v>
      </c>
      <c r="C3">
        <v>3.77160775149714</v>
      </c>
      <c r="D3" t="s">
        <v>312</v>
      </c>
      <c r="F3" s="13" t="s">
        <v>64</v>
      </c>
      <c r="G3">
        <v>2.9935753292643752</v>
      </c>
      <c r="H3">
        <v>3.1521633030259801</v>
      </c>
      <c r="I3" t="s">
        <v>151</v>
      </c>
      <c r="K3">
        <f>(B3-G3)</f>
        <v>2.4111324260233222</v>
      </c>
      <c r="L3">
        <f>K3/G3</f>
        <v>0.80543569505425494</v>
      </c>
      <c r="N3" s="13" t="s">
        <v>64</v>
      </c>
      <c r="O3">
        <v>5.5625118934348237</v>
      </c>
      <c r="P3">
        <v>3.83076557767721</v>
      </c>
      <c r="Q3" t="s">
        <v>363</v>
      </c>
      <c r="S3" s="13" t="s">
        <v>64</v>
      </c>
      <c r="T3">
        <v>3.5474289957304621</v>
      </c>
      <c r="U3">
        <v>3.8169358926420238</v>
      </c>
      <c r="V3" t="s">
        <v>259</v>
      </c>
      <c r="X3">
        <f>(O3-T3)</f>
        <v>2.0150828977043616</v>
      </c>
      <c r="Y3">
        <f>X3/T3</f>
        <v>0.56804037519274708</v>
      </c>
    </row>
    <row r="4" spans="1:25" x14ac:dyDescent="0.25">
      <c r="A4" s="13" t="s">
        <v>66</v>
      </c>
      <c r="B4">
        <v>0.97771207641573799</v>
      </c>
      <c r="C4">
        <v>1.2489336548858589</v>
      </c>
      <c r="D4" t="s">
        <v>313</v>
      </c>
      <c r="F4" s="13" t="s">
        <v>66</v>
      </c>
      <c r="G4">
        <v>0.56869043794838847</v>
      </c>
      <c r="H4">
        <v>1.0198650734536201</v>
      </c>
      <c r="I4" t="s">
        <v>152</v>
      </c>
      <c r="K4">
        <f t="shared" ref="K4:K55" si="0">(B4-G4)</f>
        <v>0.40902163846734951</v>
      </c>
      <c r="L4">
        <f t="shared" ref="L4:L55" si="1">K4/G4</f>
        <v>0.71923424621475751</v>
      </c>
      <c r="N4" s="13" t="s">
        <v>66</v>
      </c>
      <c r="O4">
        <v>0.95908658420551851</v>
      </c>
      <c r="P4">
        <v>1.3786536477290749</v>
      </c>
      <c r="Q4" t="s">
        <v>364</v>
      </c>
      <c r="S4" s="13" t="s">
        <v>66</v>
      </c>
      <c r="T4">
        <v>0.68702431780211626</v>
      </c>
      <c r="U4">
        <v>1.216326840942932</v>
      </c>
      <c r="V4" t="s">
        <v>260</v>
      </c>
      <c r="X4">
        <f t="shared" ref="X4:X55" si="2">(O4-T4)</f>
        <v>0.27206226640340225</v>
      </c>
      <c r="Y4">
        <f t="shared" ref="Y4:Y55" si="3">X4/T4</f>
        <v>0.39600092653745683</v>
      </c>
    </row>
    <row r="5" spans="1:25" x14ac:dyDescent="0.25">
      <c r="A5" s="13" t="s">
        <v>68</v>
      </c>
      <c r="B5">
        <v>0.90095519672503976</v>
      </c>
      <c r="C5">
        <v>1.262838402088905</v>
      </c>
      <c r="D5" t="s">
        <v>314</v>
      </c>
      <c r="F5" s="13" t="s">
        <v>68</v>
      </c>
      <c r="G5">
        <v>0.51772138344576513</v>
      </c>
      <c r="H5">
        <v>0.9813978250697255</v>
      </c>
      <c r="I5" t="s">
        <v>153</v>
      </c>
      <c r="K5">
        <f t="shared" si="0"/>
        <v>0.38323381327927464</v>
      </c>
      <c r="L5">
        <f t="shared" si="1"/>
        <v>0.74023176467738272</v>
      </c>
      <c r="N5" s="13" t="s">
        <v>68</v>
      </c>
      <c r="O5">
        <v>1.03349191246432</v>
      </c>
      <c r="P5">
        <v>1.3361611050149149</v>
      </c>
      <c r="Q5" t="s">
        <v>365</v>
      </c>
      <c r="S5" s="13" t="s">
        <v>68</v>
      </c>
      <c r="T5">
        <v>0.62650826062743648</v>
      </c>
      <c r="U5">
        <v>1.1157095341735781</v>
      </c>
      <c r="V5" t="s">
        <v>261</v>
      </c>
      <c r="X5">
        <f t="shared" si="2"/>
        <v>0.40698365183688356</v>
      </c>
      <c r="Y5">
        <f t="shared" si="3"/>
        <v>0.64960620220601228</v>
      </c>
    </row>
    <row r="6" spans="1:25" x14ac:dyDescent="0.25">
      <c r="A6" s="13" t="s">
        <v>11</v>
      </c>
      <c r="B6">
        <v>3.3421651125767569</v>
      </c>
      <c r="C6">
        <v>3.1213638037691318</v>
      </c>
      <c r="D6" t="s">
        <v>315</v>
      </c>
      <c r="F6" s="13" t="s">
        <v>11</v>
      </c>
      <c r="G6">
        <v>3.4564728557661422</v>
      </c>
      <c r="H6">
        <v>3.7763432704169868</v>
      </c>
      <c r="I6" t="s">
        <v>154</v>
      </c>
      <c r="K6">
        <f t="shared" si="0"/>
        <v>-0.1143077431893853</v>
      </c>
      <c r="L6">
        <f t="shared" si="1"/>
        <v>-3.3070632392988512E-2</v>
      </c>
      <c r="N6" s="13" t="s">
        <v>11</v>
      </c>
      <c r="O6">
        <v>3.1158896289248341</v>
      </c>
      <c r="P6">
        <v>4.1076220204774101</v>
      </c>
      <c r="Q6" t="s">
        <v>366</v>
      </c>
      <c r="S6" s="13" t="s">
        <v>11</v>
      </c>
      <c r="T6">
        <v>3.2370521626137001</v>
      </c>
      <c r="U6">
        <v>4.6342715879039131</v>
      </c>
      <c r="V6" t="s">
        <v>262</v>
      </c>
      <c r="X6">
        <f t="shared" si="2"/>
        <v>-0.12116253368886598</v>
      </c>
      <c r="Y6">
        <f t="shared" si="3"/>
        <v>-3.7429898439151336E-2</v>
      </c>
    </row>
    <row r="7" spans="1:25" x14ac:dyDescent="0.25">
      <c r="A7" s="13" t="s">
        <v>71</v>
      </c>
      <c r="B7">
        <v>3.4764612235615191</v>
      </c>
      <c r="C7">
        <v>2.6469251234717892</v>
      </c>
      <c r="D7" t="s">
        <v>316</v>
      </c>
      <c r="F7" s="13" t="s">
        <v>71</v>
      </c>
      <c r="G7">
        <v>1.834993039940036</v>
      </c>
      <c r="H7">
        <v>2.0875238599279871</v>
      </c>
      <c r="I7" t="s">
        <v>155</v>
      </c>
      <c r="K7">
        <f t="shared" si="0"/>
        <v>1.6414681836214831</v>
      </c>
      <c r="L7">
        <f t="shared" si="1"/>
        <v>0.89453646302392675</v>
      </c>
      <c r="N7" s="13" t="s">
        <v>71</v>
      </c>
      <c r="O7">
        <v>3.497431018078021</v>
      </c>
      <c r="P7">
        <v>2.6810432705223932</v>
      </c>
      <c r="Q7" t="s">
        <v>367</v>
      </c>
      <c r="S7" s="13" t="s">
        <v>71</v>
      </c>
      <c r="T7">
        <v>2.127157972897717</v>
      </c>
      <c r="U7">
        <v>2.5368394798857921</v>
      </c>
      <c r="V7" t="s">
        <v>263</v>
      </c>
      <c r="X7">
        <f t="shared" si="2"/>
        <v>1.370273045180304</v>
      </c>
      <c r="Y7">
        <f t="shared" si="3"/>
        <v>0.64418019848034702</v>
      </c>
    </row>
    <row r="8" spans="1:25" x14ac:dyDescent="0.25">
      <c r="A8" s="13" t="s">
        <v>73</v>
      </c>
      <c r="B8">
        <v>0.20673186263361379</v>
      </c>
      <c r="C8">
        <v>0.51983969413714615</v>
      </c>
      <c r="D8" t="s">
        <v>317</v>
      </c>
      <c r="F8" s="13" t="s">
        <v>73</v>
      </c>
      <c r="G8">
        <v>0.1752864332369633</v>
      </c>
      <c r="H8">
        <v>0.48184607305947952</v>
      </c>
      <c r="I8" t="s">
        <v>156</v>
      </c>
      <c r="K8">
        <f t="shared" si="0"/>
        <v>3.1445429396650487E-2</v>
      </c>
      <c r="L8">
        <f t="shared" si="1"/>
        <v>0.17939454192750082</v>
      </c>
      <c r="N8" s="13" t="s">
        <v>73</v>
      </c>
      <c r="O8">
        <v>0.1811607992388202</v>
      </c>
      <c r="P8">
        <v>0.49503336818405841</v>
      </c>
      <c r="Q8" t="s">
        <v>368</v>
      </c>
      <c r="S8" s="13" t="s">
        <v>73</v>
      </c>
      <c r="T8">
        <v>0.17356599220345281</v>
      </c>
      <c r="U8">
        <v>0.4693968677723801</v>
      </c>
      <c r="V8" t="s">
        <v>264</v>
      </c>
      <c r="X8">
        <f t="shared" si="2"/>
        <v>7.5948070353673847E-3</v>
      </c>
      <c r="Y8">
        <f t="shared" si="3"/>
        <v>4.3757460427298493E-2</v>
      </c>
    </row>
    <row r="9" spans="1:25" x14ac:dyDescent="0.25">
      <c r="A9" s="13" t="s">
        <v>75</v>
      </c>
      <c r="B9">
        <v>0.97248123720718671</v>
      </c>
      <c r="C9">
        <v>1.162618627080714</v>
      </c>
      <c r="D9" t="s">
        <v>318</v>
      </c>
      <c r="F9" s="13" t="s">
        <v>75</v>
      </c>
      <c r="G9">
        <v>0.455187921619017</v>
      </c>
      <c r="H9">
        <v>0.7822454338251954</v>
      </c>
      <c r="I9" t="s">
        <v>157</v>
      </c>
      <c r="K9">
        <f t="shared" si="0"/>
        <v>0.51729331558816971</v>
      </c>
      <c r="L9">
        <f t="shared" si="1"/>
        <v>1.1364390200606722</v>
      </c>
      <c r="N9" s="13" t="s">
        <v>75</v>
      </c>
      <c r="O9">
        <v>0.9969552806850619</v>
      </c>
      <c r="P9">
        <v>1.1805065016330809</v>
      </c>
      <c r="Q9" t="s">
        <v>369</v>
      </c>
      <c r="S9" s="13" t="s">
        <v>75</v>
      </c>
      <c r="T9">
        <v>0.5658065713755337</v>
      </c>
      <c r="U9">
        <v>1.001059740224991</v>
      </c>
      <c r="V9" t="s">
        <v>265</v>
      </c>
      <c r="X9">
        <f t="shared" si="2"/>
        <v>0.4311487093095282</v>
      </c>
      <c r="Y9">
        <f t="shared" si="3"/>
        <v>0.76200724968846079</v>
      </c>
    </row>
    <row r="10" spans="1:25" x14ac:dyDescent="0.25">
      <c r="A10" s="13" t="s">
        <v>77</v>
      </c>
      <c r="B10">
        <v>0.57891744371162157</v>
      </c>
      <c r="C10">
        <v>0.92991840623005073</v>
      </c>
      <c r="D10" t="s">
        <v>319</v>
      </c>
      <c r="F10" s="13" t="s">
        <v>77</v>
      </c>
      <c r="G10">
        <v>0.35153656708427028</v>
      </c>
      <c r="H10">
        <v>0.69856701305966162</v>
      </c>
      <c r="I10" t="s">
        <v>158</v>
      </c>
      <c r="K10">
        <f t="shared" si="0"/>
        <v>0.22738087662735129</v>
      </c>
      <c r="L10">
        <f t="shared" si="1"/>
        <v>0.64681998380226424</v>
      </c>
      <c r="N10" s="13" t="s">
        <v>77</v>
      </c>
      <c r="O10">
        <v>0.73054234062797341</v>
      </c>
      <c r="P10">
        <v>1.135344875012358</v>
      </c>
      <c r="Q10" t="s">
        <v>370</v>
      </c>
      <c r="S10" s="13" t="s">
        <v>77</v>
      </c>
      <c r="T10">
        <v>0.51085947651754227</v>
      </c>
      <c r="U10">
        <v>1.00075303253336</v>
      </c>
      <c r="V10" t="s">
        <v>266</v>
      </c>
      <c r="X10">
        <f t="shared" si="2"/>
        <v>0.21968286411043114</v>
      </c>
      <c r="Y10">
        <f t="shared" si="3"/>
        <v>0.4300260134312836</v>
      </c>
    </row>
    <row r="11" spans="1:25" x14ac:dyDescent="0.25">
      <c r="A11" s="13" t="s">
        <v>79</v>
      </c>
      <c r="B11">
        <v>1.7115078462588129</v>
      </c>
      <c r="C11">
        <v>1.7571512478723359</v>
      </c>
      <c r="D11" t="s">
        <v>320</v>
      </c>
      <c r="F11" s="13" t="s">
        <v>79</v>
      </c>
      <c r="G11">
        <v>0.84355926758753619</v>
      </c>
      <c r="H11">
        <v>1.290293602575237</v>
      </c>
      <c r="I11" t="s">
        <v>159</v>
      </c>
      <c r="K11">
        <f t="shared" si="0"/>
        <v>0.86794857867127673</v>
      </c>
      <c r="L11">
        <f t="shared" si="1"/>
        <v>1.0289123859115326</v>
      </c>
      <c r="N11" s="13" t="s">
        <v>79</v>
      </c>
      <c r="O11">
        <v>1.577164605137964</v>
      </c>
      <c r="P11">
        <v>1.6354269148679459</v>
      </c>
      <c r="Q11" t="s">
        <v>371</v>
      </c>
      <c r="S11" s="13" t="s">
        <v>79</v>
      </c>
      <c r="T11">
        <v>0.86374605531835902</v>
      </c>
      <c r="U11">
        <v>1.321505797314702</v>
      </c>
      <c r="V11" t="s">
        <v>267</v>
      </c>
      <c r="X11">
        <f t="shared" si="2"/>
        <v>0.71341854981960495</v>
      </c>
      <c r="Y11">
        <f t="shared" si="3"/>
        <v>0.82595867781607823</v>
      </c>
    </row>
    <row r="12" spans="1:25" x14ac:dyDescent="0.25">
      <c r="A12" s="13" t="s">
        <v>81</v>
      </c>
      <c r="B12">
        <v>5.0574255173982259</v>
      </c>
      <c r="C12">
        <v>4.3962443794548962</v>
      </c>
      <c r="D12" t="s">
        <v>321</v>
      </c>
      <c r="F12" s="13" t="s">
        <v>81</v>
      </c>
      <c r="G12">
        <v>2.8424884891315991</v>
      </c>
      <c r="H12">
        <v>3.5377488926139629</v>
      </c>
      <c r="I12" t="s">
        <v>160</v>
      </c>
      <c r="K12">
        <f t="shared" si="0"/>
        <v>2.2149370282666268</v>
      </c>
      <c r="L12">
        <f t="shared" si="1"/>
        <v>0.7792246254419507</v>
      </c>
      <c r="N12" s="13" t="s">
        <v>81</v>
      </c>
      <c r="O12">
        <v>4.6599429115128448</v>
      </c>
      <c r="P12">
        <v>4.4395297967156013</v>
      </c>
      <c r="Q12" t="s">
        <v>372</v>
      </c>
      <c r="S12" s="13" t="s">
        <v>81</v>
      </c>
      <c r="T12">
        <v>2.9974011509188792</v>
      </c>
      <c r="U12">
        <v>3.732863148917565</v>
      </c>
      <c r="V12" t="s">
        <v>268</v>
      </c>
      <c r="X12">
        <f t="shared" si="2"/>
        <v>1.6625417605939656</v>
      </c>
      <c r="Y12">
        <f t="shared" si="3"/>
        <v>0.55466108034431727</v>
      </c>
    </row>
    <row r="13" spans="1:25" x14ac:dyDescent="0.25">
      <c r="A13" s="13" t="s">
        <v>18</v>
      </c>
      <c r="B13">
        <v>0.37275415055719813</v>
      </c>
      <c r="C13">
        <v>1.231163632951993</v>
      </c>
      <c r="D13" t="s">
        <v>322</v>
      </c>
      <c r="F13" s="13" t="s">
        <v>18</v>
      </c>
      <c r="G13">
        <v>0.25366741621158578</v>
      </c>
      <c r="H13">
        <v>1.0236056180156039</v>
      </c>
      <c r="I13" t="s">
        <v>161</v>
      </c>
      <c r="K13">
        <f t="shared" si="0"/>
        <v>0.11908673434561234</v>
      </c>
      <c r="L13">
        <f t="shared" si="1"/>
        <v>0.46946011483903499</v>
      </c>
      <c r="N13" s="13" t="s">
        <v>18</v>
      </c>
      <c r="O13">
        <v>0.40361560418648912</v>
      </c>
      <c r="P13">
        <v>1.315693343025532</v>
      </c>
      <c r="Q13" t="s">
        <v>373</v>
      </c>
      <c r="S13" s="13" t="s">
        <v>18</v>
      </c>
      <c r="T13">
        <v>0.30053833302394661</v>
      </c>
      <c r="U13">
        <v>0.99033844028025997</v>
      </c>
      <c r="V13" t="s">
        <v>269</v>
      </c>
      <c r="X13">
        <f t="shared" si="2"/>
        <v>0.10307727116254251</v>
      </c>
      <c r="Y13">
        <f t="shared" si="3"/>
        <v>0.34297545383114042</v>
      </c>
    </row>
    <row r="14" spans="1:25" x14ac:dyDescent="0.25">
      <c r="A14" s="13" t="s">
        <v>19</v>
      </c>
      <c r="B14">
        <v>7.7098021378212422E-2</v>
      </c>
      <c r="C14">
        <v>0.35493427526731308</v>
      </c>
      <c r="D14" t="s">
        <v>323</v>
      </c>
      <c r="F14" s="13" t="s">
        <v>19</v>
      </c>
      <c r="G14">
        <v>6.7459042724060392E-2</v>
      </c>
      <c r="H14">
        <v>0.31515936180451759</v>
      </c>
      <c r="I14" t="s">
        <v>162</v>
      </c>
      <c r="K14">
        <f t="shared" si="0"/>
        <v>9.6389786541520306E-3</v>
      </c>
      <c r="L14">
        <f t="shared" si="1"/>
        <v>0.14288638357321556</v>
      </c>
      <c r="N14" s="13" t="s">
        <v>19</v>
      </c>
      <c r="O14">
        <v>8.2207421503330158E-2</v>
      </c>
      <c r="P14">
        <v>0.3491482904483203</v>
      </c>
      <c r="Q14" t="s">
        <v>323</v>
      </c>
      <c r="S14" s="13" t="s">
        <v>19</v>
      </c>
      <c r="T14">
        <v>6.0330425097456841E-2</v>
      </c>
      <c r="U14">
        <v>0.30143628573274772</v>
      </c>
      <c r="V14" t="s">
        <v>270</v>
      </c>
      <c r="X14">
        <f t="shared" si="2"/>
        <v>2.1876996405873317E-2</v>
      </c>
      <c r="Y14">
        <f t="shared" si="3"/>
        <v>0.36261962965673711</v>
      </c>
    </row>
    <row r="15" spans="1:25" x14ac:dyDescent="0.25">
      <c r="A15" s="13" t="s">
        <v>20</v>
      </c>
      <c r="B15">
        <v>1.181259949965886</v>
      </c>
      <c r="C15">
        <v>1.689575467676758</v>
      </c>
      <c r="D15" t="s">
        <v>324</v>
      </c>
      <c r="F15" s="13" t="s">
        <v>20</v>
      </c>
      <c r="G15">
        <v>0.79066281186422527</v>
      </c>
      <c r="H15">
        <v>1.4031046640754361</v>
      </c>
      <c r="I15" t="s">
        <v>163</v>
      </c>
      <c r="K15">
        <f t="shared" si="0"/>
        <v>0.39059713810166075</v>
      </c>
      <c r="L15">
        <f t="shared" si="1"/>
        <v>0.49401227962234695</v>
      </c>
      <c r="N15" s="13" t="s">
        <v>20</v>
      </c>
      <c r="O15">
        <v>1.14976213130352</v>
      </c>
      <c r="P15">
        <v>1.813598403909515</v>
      </c>
      <c r="Q15" t="s">
        <v>374</v>
      </c>
      <c r="S15" s="13" t="s">
        <v>20</v>
      </c>
      <c r="T15">
        <v>0.8195656209392983</v>
      </c>
      <c r="U15">
        <v>1.50606015473095</v>
      </c>
      <c r="V15" t="s">
        <v>271</v>
      </c>
      <c r="X15">
        <f t="shared" si="2"/>
        <v>0.33019651036422171</v>
      </c>
      <c r="Y15">
        <f t="shared" si="3"/>
        <v>0.4028920954319507</v>
      </c>
    </row>
    <row r="16" spans="1:25" x14ac:dyDescent="0.25">
      <c r="A16" s="13" t="s">
        <v>86</v>
      </c>
      <c r="B16">
        <v>4.6479417784853307</v>
      </c>
      <c r="C16">
        <v>3.933659288088827</v>
      </c>
      <c r="D16" t="s">
        <v>325</v>
      </c>
      <c r="F16" s="13" t="s">
        <v>86</v>
      </c>
      <c r="G16">
        <v>2.0325516650604989</v>
      </c>
      <c r="H16">
        <v>2.3108251008213849</v>
      </c>
      <c r="I16" t="s">
        <v>164</v>
      </c>
      <c r="K16">
        <f t="shared" si="0"/>
        <v>2.6153901134248319</v>
      </c>
      <c r="L16">
        <f t="shared" si="1"/>
        <v>1.2867520951045468</v>
      </c>
      <c r="N16" s="13" t="s">
        <v>86</v>
      </c>
      <c r="O16">
        <v>4.3141769743101808</v>
      </c>
      <c r="P16">
        <v>3.7846557203862901</v>
      </c>
      <c r="Q16" t="s">
        <v>375</v>
      </c>
      <c r="S16" s="13" t="s">
        <v>86</v>
      </c>
      <c r="T16">
        <v>2.137739001299424</v>
      </c>
      <c r="U16">
        <v>2.8883737415017938</v>
      </c>
      <c r="V16" t="s">
        <v>272</v>
      </c>
      <c r="X16">
        <f t="shared" si="2"/>
        <v>2.1764379730107568</v>
      </c>
      <c r="Y16">
        <f t="shared" si="3"/>
        <v>1.018102757954928</v>
      </c>
    </row>
    <row r="17" spans="1:25" x14ac:dyDescent="0.25">
      <c r="A17" s="13" t="s">
        <v>88</v>
      </c>
      <c r="B17">
        <v>1.789288151012054</v>
      </c>
      <c r="C17">
        <v>2.2060510165595719</v>
      </c>
      <c r="D17" t="s">
        <v>326</v>
      </c>
      <c r="F17" s="13" t="s">
        <v>88</v>
      </c>
      <c r="G17">
        <v>0.76378627262019483</v>
      </c>
      <c r="H17">
        <v>1.234842237715176</v>
      </c>
      <c r="I17" t="s">
        <v>165</v>
      </c>
      <c r="K17">
        <f t="shared" si="0"/>
        <v>1.025501878391859</v>
      </c>
      <c r="L17">
        <f t="shared" si="1"/>
        <v>1.3426555505820232</v>
      </c>
      <c r="N17" s="13" t="s">
        <v>88</v>
      </c>
      <c r="O17">
        <v>2.201332064700285</v>
      </c>
      <c r="P17">
        <v>2.5163716195777499</v>
      </c>
      <c r="Q17" t="s">
        <v>376</v>
      </c>
      <c r="S17" s="13" t="s">
        <v>88</v>
      </c>
      <c r="T17">
        <v>0.97865231111936146</v>
      </c>
      <c r="U17">
        <v>1.6394541976085231</v>
      </c>
      <c r="V17" t="s">
        <v>273</v>
      </c>
      <c r="X17">
        <f t="shared" si="2"/>
        <v>1.2226797535809235</v>
      </c>
      <c r="Y17">
        <f t="shared" si="3"/>
        <v>1.2493504993437849</v>
      </c>
    </row>
    <row r="18" spans="1:25" x14ac:dyDescent="0.25">
      <c r="A18" s="13" t="s">
        <v>90</v>
      </c>
      <c r="B18">
        <v>1.657152604048215</v>
      </c>
      <c r="C18">
        <v>2.0501312698761569</v>
      </c>
      <c r="D18" t="s">
        <v>327</v>
      </c>
      <c r="F18" s="13" t="s">
        <v>90</v>
      </c>
      <c r="G18">
        <v>0.85780062105150445</v>
      </c>
      <c r="H18">
        <v>1.326499734164031</v>
      </c>
      <c r="I18" t="s">
        <v>166</v>
      </c>
      <c r="K18">
        <f t="shared" si="0"/>
        <v>0.79935198299671051</v>
      </c>
      <c r="L18">
        <f t="shared" si="1"/>
        <v>0.93186221061119456</v>
      </c>
      <c r="N18" s="13" t="s">
        <v>90</v>
      </c>
      <c r="O18">
        <v>1.181541389153187</v>
      </c>
      <c r="P18">
        <v>1.804638606889108</v>
      </c>
      <c r="Q18" t="s">
        <v>377</v>
      </c>
      <c r="S18" s="13" t="s">
        <v>90</v>
      </c>
      <c r="T18">
        <v>0.73881566734731763</v>
      </c>
      <c r="U18">
        <v>1.4420038073151851</v>
      </c>
      <c r="V18" t="s">
        <v>274</v>
      </c>
      <c r="X18">
        <f t="shared" si="2"/>
        <v>0.44272572180586933</v>
      </c>
      <c r="Y18">
        <f t="shared" si="3"/>
        <v>0.59923705109754222</v>
      </c>
    </row>
    <row r="19" spans="1:25" x14ac:dyDescent="0.25">
      <c r="A19" s="13" t="s">
        <v>92</v>
      </c>
      <c r="B19">
        <v>0.30850579940868772</v>
      </c>
      <c r="C19">
        <v>0.70819348700419971</v>
      </c>
      <c r="D19" t="s">
        <v>328</v>
      </c>
      <c r="F19" s="13" t="s">
        <v>92</v>
      </c>
      <c r="G19">
        <v>0.14616125923546419</v>
      </c>
      <c r="H19">
        <v>0.44648143474556218</v>
      </c>
      <c r="I19" t="s">
        <v>167</v>
      </c>
      <c r="K19">
        <f t="shared" si="0"/>
        <v>0.16234454017322353</v>
      </c>
      <c r="L19">
        <f t="shared" si="1"/>
        <v>1.110722095734604</v>
      </c>
      <c r="N19" s="13" t="s">
        <v>92</v>
      </c>
      <c r="O19">
        <v>0.2171265461465271</v>
      </c>
      <c r="P19">
        <v>0.59551339452123886</v>
      </c>
      <c r="Q19" t="s">
        <v>378</v>
      </c>
      <c r="S19" s="13" t="s">
        <v>92</v>
      </c>
      <c r="T19">
        <v>0.119732689808799</v>
      </c>
      <c r="U19">
        <v>0.44816173921846297</v>
      </c>
      <c r="V19" t="s">
        <v>275</v>
      </c>
      <c r="X19">
        <f t="shared" si="2"/>
        <v>9.7393856337728096E-2</v>
      </c>
      <c r="Y19">
        <f t="shared" si="3"/>
        <v>0.81342744820362956</v>
      </c>
    </row>
    <row r="20" spans="1:25" x14ac:dyDescent="0.25">
      <c r="A20" s="13" t="s">
        <v>25</v>
      </c>
      <c r="B20">
        <v>0.58403456902433482</v>
      </c>
      <c r="C20">
        <v>1.138253636601406</v>
      </c>
      <c r="D20" t="s">
        <v>329</v>
      </c>
      <c r="F20" s="13" t="s">
        <v>25</v>
      </c>
      <c r="G20">
        <v>0.29842595566977193</v>
      </c>
      <c r="H20">
        <v>0.75375030517239427</v>
      </c>
      <c r="I20" t="s">
        <v>168</v>
      </c>
      <c r="K20">
        <f t="shared" si="0"/>
        <v>0.28560861335456289</v>
      </c>
      <c r="L20">
        <f t="shared" si="1"/>
        <v>0.95705017585872365</v>
      </c>
      <c r="N20" s="13" t="s">
        <v>25</v>
      </c>
      <c r="O20">
        <v>0.34919124643196953</v>
      </c>
      <c r="P20">
        <v>0.87059938735434983</v>
      </c>
      <c r="Q20" t="s">
        <v>379</v>
      </c>
      <c r="S20" s="13" t="s">
        <v>25</v>
      </c>
      <c r="T20">
        <v>0.21923148320029701</v>
      </c>
      <c r="U20">
        <v>0.6913189923548877</v>
      </c>
      <c r="V20" t="s">
        <v>276</v>
      </c>
      <c r="X20">
        <f t="shared" si="2"/>
        <v>0.12995976323167252</v>
      </c>
      <c r="Y20">
        <f t="shared" si="3"/>
        <v>0.59279698944032166</v>
      </c>
    </row>
    <row r="21" spans="1:25" x14ac:dyDescent="0.25">
      <c r="A21" s="13" t="s">
        <v>95</v>
      </c>
      <c r="B21">
        <v>0.30316124630429842</v>
      </c>
      <c r="C21">
        <v>0.73558570677299551</v>
      </c>
      <c r="D21" t="s">
        <v>330</v>
      </c>
      <c r="F21" s="13" t="s">
        <v>95</v>
      </c>
      <c r="G21">
        <v>0.13855873219830819</v>
      </c>
      <c r="H21">
        <v>0.42976443867490921</v>
      </c>
      <c r="I21" t="s">
        <v>169</v>
      </c>
      <c r="K21">
        <f t="shared" si="0"/>
        <v>0.16460251410599022</v>
      </c>
      <c r="L21">
        <f t="shared" si="1"/>
        <v>1.1879620395949324</v>
      </c>
      <c r="N21" s="13" t="s">
        <v>95</v>
      </c>
      <c r="O21">
        <v>0.23520456707897239</v>
      </c>
      <c r="P21">
        <v>0.65749278005336675</v>
      </c>
      <c r="Q21" t="s">
        <v>380</v>
      </c>
      <c r="S21" s="13" t="s">
        <v>95</v>
      </c>
      <c r="T21">
        <v>0.1336550956005198</v>
      </c>
      <c r="U21">
        <v>0.44733155498255328</v>
      </c>
      <c r="V21" t="s">
        <v>277</v>
      </c>
      <c r="X21">
        <f t="shared" si="2"/>
        <v>0.10154947147845259</v>
      </c>
      <c r="Y21">
        <f t="shared" si="3"/>
        <v>0.7597875039644777</v>
      </c>
    </row>
    <row r="22" spans="1:25" x14ac:dyDescent="0.25">
      <c r="A22" s="13" t="s">
        <v>97</v>
      </c>
      <c r="B22">
        <v>14.35910848305663</v>
      </c>
      <c r="C22">
        <v>9.9671924895753552</v>
      </c>
      <c r="D22" t="s">
        <v>331</v>
      </c>
      <c r="F22" s="13" t="s">
        <v>97</v>
      </c>
      <c r="G22">
        <v>6.3329050219509586</v>
      </c>
      <c r="H22">
        <v>6.125988569077137</v>
      </c>
      <c r="I22" t="s">
        <v>170</v>
      </c>
      <c r="K22">
        <f t="shared" si="0"/>
        <v>8.0262034611056716</v>
      </c>
      <c r="L22">
        <f t="shared" si="1"/>
        <v>1.2673809939175535</v>
      </c>
      <c r="N22" s="13" t="s">
        <v>97</v>
      </c>
      <c r="O22">
        <v>13.42949571836346</v>
      </c>
      <c r="P22">
        <v>9.3747592600853125</v>
      </c>
      <c r="Q22" t="s">
        <v>381</v>
      </c>
      <c r="S22" s="13" t="s">
        <v>97</v>
      </c>
      <c r="T22">
        <v>7.2157044737330613</v>
      </c>
      <c r="U22">
        <v>8.3950163743745012</v>
      </c>
      <c r="V22" t="s">
        <v>278</v>
      </c>
      <c r="X22">
        <f t="shared" si="2"/>
        <v>6.2137912446303991</v>
      </c>
      <c r="Y22">
        <f t="shared" si="3"/>
        <v>0.86114824508821386</v>
      </c>
    </row>
    <row r="23" spans="1:25" x14ac:dyDescent="0.25">
      <c r="A23" s="13" t="s">
        <v>28</v>
      </c>
      <c r="B23">
        <v>3.8305662952012738</v>
      </c>
      <c r="C23">
        <v>3.331141274793997</v>
      </c>
      <c r="D23" t="s">
        <v>332</v>
      </c>
      <c r="F23" s="13" t="s">
        <v>28</v>
      </c>
      <c r="G23">
        <v>1.6286540314808871</v>
      </c>
      <c r="H23">
        <v>1.916275283963585</v>
      </c>
      <c r="I23" t="s">
        <v>171</v>
      </c>
      <c r="K23">
        <f t="shared" si="0"/>
        <v>2.201912263720387</v>
      </c>
      <c r="L23">
        <f t="shared" si="1"/>
        <v>1.3519828159687501</v>
      </c>
      <c r="N23" s="13" t="s">
        <v>28</v>
      </c>
      <c r="O23">
        <v>3.441674595623216</v>
      </c>
      <c r="P23">
        <v>2.991546052666147</v>
      </c>
      <c r="Q23" t="s">
        <v>382</v>
      </c>
      <c r="S23" s="13" t="s">
        <v>28</v>
      </c>
      <c r="T23">
        <v>1.771486912938556</v>
      </c>
      <c r="U23">
        <v>2.2700074016962022</v>
      </c>
      <c r="V23" t="s">
        <v>279</v>
      </c>
      <c r="X23">
        <f t="shared" si="2"/>
        <v>1.67018768268466</v>
      </c>
      <c r="Y23">
        <f t="shared" si="3"/>
        <v>0.94281683397487814</v>
      </c>
    </row>
    <row r="24" spans="1:25" x14ac:dyDescent="0.25">
      <c r="A24" s="13" t="s">
        <v>100</v>
      </c>
      <c r="B24">
        <v>2.1461223561519218</v>
      </c>
      <c r="C24">
        <v>2.102816986354568</v>
      </c>
      <c r="D24" t="s">
        <v>333</v>
      </c>
      <c r="F24" s="13" t="s">
        <v>100</v>
      </c>
      <c r="G24">
        <v>0.74129992504550812</v>
      </c>
      <c r="H24">
        <v>1.108534070417452</v>
      </c>
      <c r="I24" t="s">
        <v>172</v>
      </c>
      <c r="K24">
        <f t="shared" si="0"/>
        <v>1.4048224311064137</v>
      </c>
      <c r="L24">
        <f t="shared" si="1"/>
        <v>1.8950796885891661</v>
      </c>
      <c r="N24" s="13" t="s">
        <v>100</v>
      </c>
      <c r="O24">
        <v>1.6888677450047569</v>
      </c>
      <c r="P24">
        <v>1.8495104118209511</v>
      </c>
      <c r="Q24" t="s">
        <v>383</v>
      </c>
      <c r="S24" s="13" t="s">
        <v>100</v>
      </c>
      <c r="T24">
        <v>0.75255244106181551</v>
      </c>
      <c r="U24">
        <v>1.27438359490447</v>
      </c>
      <c r="V24" t="s">
        <v>280</v>
      </c>
      <c r="X24">
        <f t="shared" si="2"/>
        <v>0.93631530394294138</v>
      </c>
      <c r="Y24">
        <f t="shared" si="3"/>
        <v>1.2441861229256599</v>
      </c>
    </row>
    <row r="25" spans="1:25" x14ac:dyDescent="0.25">
      <c r="A25" s="13" t="s">
        <v>102</v>
      </c>
      <c r="B25">
        <v>1.2195815328633159</v>
      </c>
      <c r="C25">
        <v>1.708182622606758</v>
      </c>
      <c r="D25" t="s">
        <v>334</v>
      </c>
      <c r="F25" s="13" t="s">
        <v>102</v>
      </c>
      <c r="G25">
        <v>0.6419316843345112</v>
      </c>
      <c r="H25">
        <v>1.147068280728164</v>
      </c>
      <c r="I25" t="s">
        <v>173</v>
      </c>
      <c r="K25">
        <f t="shared" si="0"/>
        <v>0.57764984852880474</v>
      </c>
      <c r="L25">
        <f t="shared" si="1"/>
        <v>0.89986187413019303</v>
      </c>
      <c r="N25" s="13" t="s">
        <v>102</v>
      </c>
      <c r="O25">
        <v>1.2738344433872499</v>
      </c>
      <c r="P25">
        <v>1.8579632538349671</v>
      </c>
      <c r="Q25" t="s">
        <v>384</v>
      </c>
      <c r="S25" s="13" t="s">
        <v>102</v>
      </c>
      <c r="T25">
        <v>0.79803229998143677</v>
      </c>
      <c r="U25">
        <v>1.5136621992108019</v>
      </c>
      <c r="V25" t="s">
        <v>281</v>
      </c>
      <c r="X25">
        <f t="shared" si="2"/>
        <v>0.47580214340581317</v>
      </c>
      <c r="Y25">
        <f t="shared" si="3"/>
        <v>0.59621915480975007</v>
      </c>
    </row>
    <row r="26" spans="1:25" x14ac:dyDescent="0.25">
      <c r="A26" s="13" t="s">
        <v>104</v>
      </c>
      <c r="B26">
        <v>1.4184671366841031</v>
      </c>
      <c r="C26">
        <v>1.8278597903787861</v>
      </c>
      <c r="D26" t="s">
        <v>335</v>
      </c>
      <c r="F26" s="13" t="s">
        <v>104</v>
      </c>
      <c r="G26">
        <v>0.69707677481529073</v>
      </c>
      <c r="H26">
        <v>1.1743506290143511</v>
      </c>
      <c r="I26" t="s">
        <v>174</v>
      </c>
      <c r="K26">
        <f t="shared" si="0"/>
        <v>0.72139036186881234</v>
      </c>
      <c r="L26">
        <f t="shared" si="1"/>
        <v>1.0348793532247063</v>
      </c>
      <c r="N26" s="13" t="s">
        <v>104</v>
      </c>
      <c r="O26">
        <v>1.2447193149381539</v>
      </c>
      <c r="P26">
        <v>1.719660101383957</v>
      </c>
      <c r="Q26" t="s">
        <v>385</v>
      </c>
      <c r="S26" s="13" t="s">
        <v>104</v>
      </c>
      <c r="T26">
        <v>0.76758863931687393</v>
      </c>
      <c r="U26">
        <v>1.4193912608961949</v>
      </c>
      <c r="V26" t="s">
        <v>282</v>
      </c>
      <c r="X26">
        <f t="shared" si="2"/>
        <v>0.47713067562127998</v>
      </c>
      <c r="Y26">
        <f t="shared" si="3"/>
        <v>0.62159684391096381</v>
      </c>
    </row>
    <row r="27" spans="1:25" x14ac:dyDescent="0.25">
      <c r="A27" s="13" t="s">
        <v>106</v>
      </c>
      <c r="B27">
        <v>1.021491926313395</v>
      </c>
      <c r="C27">
        <v>1.342553332785499</v>
      </c>
      <c r="D27" t="s">
        <v>336</v>
      </c>
      <c r="F27" s="13" t="s">
        <v>106</v>
      </c>
      <c r="G27">
        <v>0.52628761109326483</v>
      </c>
      <c r="H27">
        <v>0.89693180106343606</v>
      </c>
      <c r="I27" t="s">
        <v>175</v>
      </c>
      <c r="K27">
        <f t="shared" si="0"/>
        <v>0.4952043152201302</v>
      </c>
      <c r="L27">
        <f t="shared" si="1"/>
        <v>0.94093857575601136</v>
      </c>
      <c r="N27" s="13" t="s">
        <v>106</v>
      </c>
      <c r="O27">
        <v>1.0251189343482401</v>
      </c>
      <c r="P27">
        <v>1.3688500073868151</v>
      </c>
      <c r="Q27" t="s">
        <v>386</v>
      </c>
      <c r="S27" s="13" t="s">
        <v>106</v>
      </c>
      <c r="T27">
        <v>0.56302209021718952</v>
      </c>
      <c r="U27">
        <v>1.076308174785181</v>
      </c>
      <c r="V27" t="s">
        <v>283</v>
      </c>
      <c r="X27">
        <f t="shared" si="2"/>
        <v>0.46209684413105057</v>
      </c>
      <c r="Y27">
        <f t="shared" si="3"/>
        <v>0.8207437188704152</v>
      </c>
    </row>
    <row r="28" spans="1:25" x14ac:dyDescent="0.25">
      <c r="A28" s="13" t="s">
        <v>108</v>
      </c>
      <c r="B28">
        <v>3.5645894928360251</v>
      </c>
      <c r="C28">
        <v>3.1807058857342212</v>
      </c>
      <c r="D28" t="s">
        <v>337</v>
      </c>
      <c r="F28" s="13" t="s">
        <v>108</v>
      </c>
      <c r="G28">
        <v>1.4999464610772031</v>
      </c>
      <c r="H28">
        <v>1.893466745824838</v>
      </c>
      <c r="I28" t="s">
        <v>176</v>
      </c>
      <c r="K28">
        <f t="shared" si="0"/>
        <v>2.064643031758822</v>
      </c>
      <c r="L28">
        <f t="shared" si="1"/>
        <v>1.3764778179322987</v>
      </c>
      <c r="N28" s="13" t="s">
        <v>108</v>
      </c>
      <c r="O28">
        <v>3.3939105613701241</v>
      </c>
      <c r="P28">
        <v>2.8240701343465928</v>
      </c>
      <c r="Q28" t="s">
        <v>387</v>
      </c>
      <c r="S28" s="13" t="s">
        <v>108</v>
      </c>
      <c r="T28">
        <v>1.777241507332467</v>
      </c>
      <c r="U28">
        <v>2.4643273644602162</v>
      </c>
      <c r="V28" t="s">
        <v>284</v>
      </c>
      <c r="X28">
        <f t="shared" si="2"/>
        <v>1.6166690540376571</v>
      </c>
      <c r="Y28">
        <f t="shared" si="3"/>
        <v>0.90965074097564858</v>
      </c>
    </row>
    <row r="29" spans="1:25" x14ac:dyDescent="0.25">
      <c r="A29" s="13" t="s">
        <v>110</v>
      </c>
      <c r="B29">
        <v>0.69103934500795994</v>
      </c>
      <c r="C29">
        <v>1.050934927378395</v>
      </c>
      <c r="D29" t="s">
        <v>338</v>
      </c>
      <c r="F29" s="13" t="s">
        <v>110</v>
      </c>
      <c r="G29">
        <v>0.5571260306242638</v>
      </c>
      <c r="H29">
        <v>1.0993813006571109</v>
      </c>
      <c r="I29" t="s">
        <v>177</v>
      </c>
      <c r="K29">
        <f t="shared" si="0"/>
        <v>0.13391331438369614</v>
      </c>
      <c r="L29">
        <f t="shared" si="1"/>
        <v>0.24036449029969983</v>
      </c>
      <c r="N29" s="13" t="s">
        <v>110</v>
      </c>
      <c r="O29">
        <v>0.7174119885823026</v>
      </c>
      <c r="P29">
        <v>1.163242125561468</v>
      </c>
      <c r="Q29" t="s">
        <v>388</v>
      </c>
      <c r="S29" s="13" t="s">
        <v>110</v>
      </c>
      <c r="T29">
        <v>0.62038240207907924</v>
      </c>
      <c r="U29">
        <v>1.20792976653385</v>
      </c>
      <c r="V29" t="s">
        <v>285</v>
      </c>
      <c r="X29">
        <f t="shared" si="2"/>
        <v>9.7029586503223353E-2</v>
      </c>
      <c r="Y29">
        <f t="shared" si="3"/>
        <v>0.15640286729289773</v>
      </c>
    </row>
    <row r="30" spans="1:25" x14ac:dyDescent="0.25">
      <c r="A30" s="13" t="s">
        <v>112</v>
      </c>
      <c r="B30">
        <v>1.011143961792131</v>
      </c>
      <c r="C30">
        <v>1.495697149001515</v>
      </c>
      <c r="D30" t="s">
        <v>339</v>
      </c>
      <c r="F30" s="13" t="s">
        <v>112</v>
      </c>
      <c r="G30">
        <v>0.42756183745583037</v>
      </c>
      <c r="H30">
        <v>0.96666131370855002</v>
      </c>
      <c r="I30" t="s">
        <v>178</v>
      </c>
      <c r="K30">
        <f t="shared" si="0"/>
        <v>0.58358212433630063</v>
      </c>
      <c r="L30">
        <f t="shared" si="1"/>
        <v>1.3649069519601083</v>
      </c>
      <c r="N30" s="13" t="s">
        <v>112</v>
      </c>
      <c r="O30">
        <v>1.0180780209324449</v>
      </c>
      <c r="P30">
        <v>1.591235187807901</v>
      </c>
      <c r="Q30" t="s">
        <v>389</v>
      </c>
      <c r="S30" s="13" t="s">
        <v>112</v>
      </c>
      <c r="T30">
        <v>0.54909968442546875</v>
      </c>
      <c r="U30">
        <v>1.334631347708775</v>
      </c>
      <c r="V30" t="s">
        <v>286</v>
      </c>
      <c r="X30">
        <f t="shared" si="2"/>
        <v>0.46897833650697618</v>
      </c>
      <c r="Y30">
        <f t="shared" si="3"/>
        <v>0.85408596983200835</v>
      </c>
    </row>
    <row r="31" spans="1:25" x14ac:dyDescent="0.25">
      <c r="A31" s="13" t="s">
        <v>114</v>
      </c>
      <c r="B31">
        <v>0.88480782351603371</v>
      </c>
      <c r="C31">
        <v>1.364123768078557</v>
      </c>
      <c r="D31" t="s">
        <v>340</v>
      </c>
      <c r="F31" s="13" t="s">
        <v>114</v>
      </c>
      <c r="G31">
        <v>0.67598243923332257</v>
      </c>
      <c r="H31">
        <v>1.091229608458518</v>
      </c>
      <c r="I31" t="s">
        <v>179</v>
      </c>
      <c r="K31">
        <f t="shared" si="0"/>
        <v>0.20882538428271114</v>
      </c>
      <c r="L31">
        <f t="shared" si="1"/>
        <v>0.30892131535185163</v>
      </c>
      <c r="N31" s="13" t="s">
        <v>114</v>
      </c>
      <c r="O31">
        <v>1.0837297811607991</v>
      </c>
      <c r="P31">
        <v>1.6011248720146789</v>
      </c>
      <c r="Q31" t="s">
        <v>390</v>
      </c>
      <c r="S31" s="13" t="s">
        <v>114</v>
      </c>
      <c r="T31">
        <v>0.73788750696120287</v>
      </c>
      <c r="U31">
        <v>1.185527998695322</v>
      </c>
      <c r="V31" t="s">
        <v>287</v>
      </c>
      <c r="X31">
        <f t="shared" si="2"/>
        <v>0.34584227419959623</v>
      </c>
      <c r="Y31">
        <f t="shared" si="3"/>
        <v>0.46869241034294967</v>
      </c>
    </row>
    <row r="32" spans="1:25" x14ac:dyDescent="0.25">
      <c r="A32" s="13" t="s">
        <v>116</v>
      </c>
      <c r="B32">
        <v>0.35694791903570622</v>
      </c>
      <c r="C32">
        <v>0.90316680567594554</v>
      </c>
      <c r="D32" t="s">
        <v>341</v>
      </c>
      <c r="F32" s="13" t="s">
        <v>116</v>
      </c>
      <c r="G32">
        <v>0.31052575222186529</v>
      </c>
      <c r="H32">
        <v>0.72390531669165059</v>
      </c>
      <c r="I32" t="s">
        <v>180</v>
      </c>
      <c r="K32">
        <f t="shared" si="0"/>
        <v>4.6422166813840926E-2</v>
      </c>
      <c r="L32">
        <f t="shared" si="1"/>
        <v>0.14949538478429669</v>
      </c>
      <c r="N32" s="13" t="s">
        <v>116</v>
      </c>
      <c r="O32">
        <v>0.40608943862987629</v>
      </c>
      <c r="P32">
        <v>0.92889629793177242</v>
      </c>
      <c r="Q32" t="s">
        <v>391</v>
      </c>
      <c r="S32" s="13" t="s">
        <v>116</v>
      </c>
      <c r="T32">
        <v>0.28587339892333402</v>
      </c>
      <c r="U32">
        <v>0.70087672083260288</v>
      </c>
      <c r="V32" t="s">
        <v>288</v>
      </c>
      <c r="X32">
        <f t="shared" si="2"/>
        <v>0.12021603970654227</v>
      </c>
      <c r="Y32">
        <f t="shared" si="3"/>
        <v>0.42052195188256042</v>
      </c>
    </row>
    <row r="33" spans="1:25" x14ac:dyDescent="0.25">
      <c r="A33" s="13" t="s">
        <v>118</v>
      </c>
      <c r="B33">
        <v>0.19410962019558789</v>
      </c>
      <c r="C33">
        <v>0.60623911043071366</v>
      </c>
      <c r="D33" t="s">
        <v>342</v>
      </c>
      <c r="F33" s="13" t="s">
        <v>118</v>
      </c>
      <c r="G33">
        <v>0.20173466109861871</v>
      </c>
      <c r="H33">
        <v>0.55611747096946806</v>
      </c>
      <c r="I33" t="s">
        <v>181</v>
      </c>
      <c r="K33">
        <f t="shared" si="0"/>
        <v>-7.6250409030308164E-3</v>
      </c>
      <c r="L33">
        <f t="shared" si="1"/>
        <v>-3.7797376323463264E-2</v>
      </c>
      <c r="N33" s="13" t="s">
        <v>118</v>
      </c>
      <c r="O33">
        <v>0.2207421503330162</v>
      </c>
      <c r="P33">
        <v>0.69227329263011583</v>
      </c>
      <c r="Q33" t="s">
        <v>276</v>
      </c>
      <c r="S33" s="13" t="s">
        <v>118</v>
      </c>
      <c r="T33">
        <v>0.22628550213476889</v>
      </c>
      <c r="U33">
        <v>0.6366626998720859</v>
      </c>
      <c r="V33" t="s">
        <v>289</v>
      </c>
      <c r="X33">
        <f t="shared" si="2"/>
        <v>-5.5433518017526939E-3</v>
      </c>
      <c r="Y33">
        <f t="shared" si="3"/>
        <v>-2.4497158454505136E-2</v>
      </c>
    </row>
    <row r="34" spans="1:25" x14ac:dyDescent="0.25">
      <c r="A34" s="13" t="s">
        <v>120</v>
      </c>
      <c r="B34">
        <v>0.1060950648169206</v>
      </c>
      <c r="C34">
        <v>0.40214557404412821</v>
      </c>
      <c r="D34" t="s">
        <v>343</v>
      </c>
      <c r="F34" s="13" t="s">
        <v>120</v>
      </c>
      <c r="G34">
        <v>7.9772994967341262E-2</v>
      </c>
      <c r="H34">
        <v>0.32913255909975803</v>
      </c>
      <c r="I34" t="s">
        <v>182</v>
      </c>
      <c r="K34">
        <f t="shared" si="0"/>
        <v>2.6322069849579341E-2</v>
      </c>
      <c r="L34">
        <f t="shared" si="1"/>
        <v>0.32996216151036434</v>
      </c>
      <c r="N34" s="13" t="s">
        <v>120</v>
      </c>
      <c r="O34">
        <v>0.1665080875356803</v>
      </c>
      <c r="P34">
        <v>0.55516151338104103</v>
      </c>
      <c r="Q34" t="s">
        <v>392</v>
      </c>
      <c r="S34" s="13" t="s">
        <v>120</v>
      </c>
      <c r="T34">
        <v>0.1132355671059959</v>
      </c>
      <c r="U34">
        <v>0.41663477379087721</v>
      </c>
      <c r="V34" t="s">
        <v>290</v>
      </c>
      <c r="X34">
        <f t="shared" si="2"/>
        <v>5.3272520429684403E-2</v>
      </c>
      <c r="Y34">
        <f t="shared" si="3"/>
        <v>0.47045748779460644</v>
      </c>
    </row>
    <row r="35" spans="1:25" x14ac:dyDescent="0.25">
      <c r="A35" s="13" t="s">
        <v>122</v>
      </c>
      <c r="B35">
        <v>0.94450761883102119</v>
      </c>
      <c r="C35">
        <v>2.1181661803250802</v>
      </c>
      <c r="D35" t="s">
        <v>344</v>
      </c>
      <c r="F35" s="13" t="s">
        <v>122</v>
      </c>
      <c r="G35">
        <v>0.68433451118963484</v>
      </c>
      <c r="H35">
        <v>1.521580962310173</v>
      </c>
      <c r="I35" t="s">
        <v>183</v>
      </c>
      <c r="K35">
        <f t="shared" si="0"/>
        <v>0.26017310764138635</v>
      </c>
      <c r="L35">
        <f t="shared" si="1"/>
        <v>0.38018411082192255</v>
      </c>
      <c r="N35" s="13" t="s">
        <v>122</v>
      </c>
      <c r="O35">
        <v>1.322359657469077</v>
      </c>
      <c r="P35">
        <v>3.0430836899707261</v>
      </c>
      <c r="Q35" t="s">
        <v>393</v>
      </c>
      <c r="S35" s="13" t="s">
        <v>122</v>
      </c>
      <c r="T35">
        <v>0.93298682012251721</v>
      </c>
      <c r="U35">
        <v>2.0679511307883152</v>
      </c>
      <c r="V35" t="s">
        <v>291</v>
      </c>
      <c r="X35">
        <f t="shared" si="2"/>
        <v>0.38937283734655981</v>
      </c>
      <c r="Y35">
        <f t="shared" si="3"/>
        <v>0.41734012630042133</v>
      </c>
    </row>
    <row r="36" spans="1:25" x14ac:dyDescent="0.25">
      <c r="A36" s="13" t="s">
        <v>41</v>
      </c>
      <c r="B36">
        <v>0.22492608596770519</v>
      </c>
      <c r="C36">
        <v>0.75536642605811988</v>
      </c>
      <c r="D36" t="s">
        <v>345</v>
      </c>
      <c r="F36" s="13" t="s">
        <v>41</v>
      </c>
      <c r="G36">
        <v>0.19605953528215009</v>
      </c>
      <c r="H36">
        <v>0.57282044204443883</v>
      </c>
      <c r="I36" t="s">
        <v>184</v>
      </c>
      <c r="K36">
        <f t="shared" si="0"/>
        <v>2.8866550685555104E-2</v>
      </c>
      <c r="L36">
        <f t="shared" si="1"/>
        <v>0.14723359740709949</v>
      </c>
      <c r="N36" s="13" t="s">
        <v>41</v>
      </c>
      <c r="O36">
        <v>0.30580399619410092</v>
      </c>
      <c r="P36">
        <v>1.0871408965329039</v>
      </c>
      <c r="Q36" t="s">
        <v>394</v>
      </c>
      <c r="S36" s="13" t="s">
        <v>41</v>
      </c>
      <c r="T36">
        <v>0.2331538889920178</v>
      </c>
      <c r="U36">
        <v>0.6997371947686295</v>
      </c>
      <c r="V36" t="s">
        <v>292</v>
      </c>
      <c r="X36">
        <f t="shared" si="2"/>
        <v>7.265010720208312E-2</v>
      </c>
      <c r="Y36">
        <f t="shared" si="3"/>
        <v>0.31159723526880717</v>
      </c>
    </row>
    <row r="37" spans="1:25" x14ac:dyDescent="0.25">
      <c r="A37" s="13" t="s">
        <v>42</v>
      </c>
      <c r="B37">
        <v>0.49442801910393452</v>
      </c>
      <c r="C37">
        <v>1.4692042102326739</v>
      </c>
      <c r="D37" t="s">
        <v>238</v>
      </c>
      <c r="F37" s="13" t="s">
        <v>42</v>
      </c>
      <c r="G37">
        <v>0.28065103330121</v>
      </c>
      <c r="H37">
        <v>1.006692833325028</v>
      </c>
      <c r="I37" t="s">
        <v>185</v>
      </c>
      <c r="K37">
        <f t="shared" si="0"/>
        <v>0.21377698580272453</v>
      </c>
      <c r="L37">
        <f t="shared" si="1"/>
        <v>0.76171814971829233</v>
      </c>
      <c r="N37" s="13" t="s">
        <v>42</v>
      </c>
      <c r="O37">
        <v>0.68791627021883917</v>
      </c>
      <c r="P37">
        <v>2.1025381494293161</v>
      </c>
      <c r="Q37" t="s">
        <v>395</v>
      </c>
      <c r="S37" s="13" t="s">
        <v>42</v>
      </c>
      <c r="T37">
        <v>0.45052905142008542</v>
      </c>
      <c r="U37">
        <v>1.5297256374413759</v>
      </c>
      <c r="V37" t="s">
        <v>293</v>
      </c>
      <c r="X37">
        <f t="shared" si="2"/>
        <v>0.23738721879875374</v>
      </c>
      <c r="Y37">
        <f t="shared" si="3"/>
        <v>0.52690768342352134</v>
      </c>
    </row>
    <row r="38" spans="1:25" x14ac:dyDescent="0.25">
      <c r="A38" s="13" t="s">
        <v>43</v>
      </c>
      <c r="B38">
        <v>0.1167841710256993</v>
      </c>
      <c r="C38">
        <v>0.50910761837014473</v>
      </c>
      <c r="D38" t="s">
        <v>216</v>
      </c>
      <c r="F38" s="13" t="s">
        <v>43</v>
      </c>
      <c r="G38">
        <v>0.1036513545347468</v>
      </c>
      <c r="H38">
        <v>0.40920882463083191</v>
      </c>
      <c r="I38" t="s">
        <v>186</v>
      </c>
      <c r="K38">
        <f t="shared" si="0"/>
        <v>1.3132816490952492E-2</v>
      </c>
      <c r="L38">
        <f t="shared" si="1"/>
        <v>0.12670183182748479</v>
      </c>
      <c r="N38" s="13" t="s">
        <v>43</v>
      </c>
      <c r="O38">
        <v>0.13149381541389149</v>
      </c>
      <c r="P38">
        <v>0.51289756109240159</v>
      </c>
      <c r="Q38" t="s">
        <v>396</v>
      </c>
      <c r="S38" s="13" t="s">
        <v>43</v>
      </c>
      <c r="T38">
        <v>0.10209764247261929</v>
      </c>
      <c r="U38">
        <v>0.44734773461239358</v>
      </c>
      <c r="V38" t="s">
        <v>294</v>
      </c>
      <c r="X38">
        <f t="shared" si="2"/>
        <v>2.9396172941272197E-2</v>
      </c>
      <c r="Y38">
        <f t="shared" si="3"/>
        <v>0.28792215206296962</v>
      </c>
    </row>
    <row r="39" spans="1:25" x14ac:dyDescent="0.25">
      <c r="A39" s="13" t="s">
        <v>127</v>
      </c>
      <c r="B39">
        <v>0.1534000454855583</v>
      </c>
      <c r="C39">
        <v>0.80499855288767741</v>
      </c>
      <c r="D39" t="s">
        <v>346</v>
      </c>
      <c r="F39" s="13" t="s">
        <v>127</v>
      </c>
      <c r="G39">
        <v>0.121319199057715</v>
      </c>
      <c r="H39">
        <v>0.56676207444811222</v>
      </c>
      <c r="I39" t="s">
        <v>187</v>
      </c>
      <c r="K39">
        <f t="shared" si="0"/>
        <v>3.2080846427843299E-2</v>
      </c>
      <c r="L39">
        <f t="shared" si="1"/>
        <v>0.26443338463338789</v>
      </c>
      <c r="N39" s="13" t="s">
        <v>127</v>
      </c>
      <c r="O39">
        <v>0.23520456707897239</v>
      </c>
      <c r="P39">
        <v>1.155355873133473</v>
      </c>
      <c r="Q39" t="s">
        <v>397</v>
      </c>
      <c r="S39" s="13" t="s">
        <v>127</v>
      </c>
      <c r="T39">
        <v>0.16614070911453499</v>
      </c>
      <c r="U39">
        <v>0.69268954199269883</v>
      </c>
      <c r="V39" t="s">
        <v>295</v>
      </c>
      <c r="X39">
        <f t="shared" si="2"/>
        <v>6.9063857964437397E-2</v>
      </c>
      <c r="Y39">
        <f t="shared" si="3"/>
        <v>0.41569497525633997</v>
      </c>
    </row>
    <row r="40" spans="1:25" x14ac:dyDescent="0.25">
      <c r="A40" s="13" t="s">
        <v>129</v>
      </c>
      <c r="B40">
        <v>10.365362747327721</v>
      </c>
      <c r="C40">
        <v>6.1239991116236352</v>
      </c>
      <c r="D40" t="s">
        <v>347</v>
      </c>
      <c r="F40" s="13" t="s">
        <v>129</v>
      </c>
      <c r="G40">
        <v>6.2147981582610559</v>
      </c>
      <c r="H40">
        <v>5.0860565452696296</v>
      </c>
      <c r="I40" t="s">
        <v>188</v>
      </c>
      <c r="K40">
        <f t="shared" si="0"/>
        <v>4.1505645890666649</v>
      </c>
      <c r="L40">
        <f t="shared" si="1"/>
        <v>0.66785187279968272</v>
      </c>
      <c r="N40" s="13" t="s">
        <v>129</v>
      </c>
      <c r="O40">
        <v>10.357944814462421</v>
      </c>
      <c r="P40">
        <v>6.5639036944439217</v>
      </c>
      <c r="Q40" t="s">
        <v>398</v>
      </c>
      <c r="S40" s="13" t="s">
        <v>129</v>
      </c>
      <c r="T40">
        <v>6.7000185632077223</v>
      </c>
      <c r="U40">
        <v>7.004285330875188</v>
      </c>
      <c r="V40" t="s">
        <v>296</v>
      </c>
      <c r="X40">
        <f t="shared" si="2"/>
        <v>3.6579262512546986</v>
      </c>
      <c r="Y40">
        <f t="shared" si="3"/>
        <v>0.54595762933280867</v>
      </c>
    </row>
    <row r="41" spans="1:25" x14ac:dyDescent="0.25">
      <c r="A41" s="13" t="s">
        <v>46</v>
      </c>
      <c r="B41">
        <v>1.8614964748692291</v>
      </c>
      <c r="C41">
        <v>1.8512677797666099</v>
      </c>
      <c r="D41" t="s">
        <v>348</v>
      </c>
      <c r="F41" s="13" t="s">
        <v>46</v>
      </c>
      <c r="G41">
        <v>1.0239854374129991</v>
      </c>
      <c r="H41">
        <v>1.406035519309988</v>
      </c>
      <c r="I41" t="s">
        <v>189</v>
      </c>
      <c r="K41">
        <f t="shared" si="0"/>
        <v>0.83751103745623001</v>
      </c>
      <c r="L41">
        <f t="shared" si="1"/>
        <v>0.81789350400540972</v>
      </c>
      <c r="N41" s="13" t="s">
        <v>46</v>
      </c>
      <c r="O41">
        <v>2.1575642245480489</v>
      </c>
      <c r="P41">
        <v>2.10657863564784</v>
      </c>
      <c r="Q41" t="s">
        <v>399</v>
      </c>
      <c r="S41" s="13" t="s">
        <v>46</v>
      </c>
      <c r="T41">
        <v>1.3796175979209211</v>
      </c>
      <c r="U41">
        <v>1.946303017229789</v>
      </c>
      <c r="V41" t="s">
        <v>297</v>
      </c>
      <c r="X41">
        <f t="shared" si="2"/>
        <v>0.77794662662712777</v>
      </c>
      <c r="Y41">
        <f t="shared" si="3"/>
        <v>0.56388569397744026</v>
      </c>
    </row>
    <row r="42" spans="1:25" x14ac:dyDescent="0.25">
      <c r="A42" s="13" t="s">
        <v>47</v>
      </c>
      <c r="B42">
        <v>4.8187400500341138</v>
      </c>
      <c r="C42">
        <v>3.6053316035793181</v>
      </c>
      <c r="D42" t="s">
        <v>349</v>
      </c>
      <c r="F42" s="13" t="s">
        <v>47</v>
      </c>
      <c r="G42">
        <v>2.499303994003641</v>
      </c>
      <c r="H42">
        <v>2.5999972295972071</v>
      </c>
      <c r="I42" t="s">
        <v>190</v>
      </c>
      <c r="K42">
        <f t="shared" si="0"/>
        <v>2.3194360560304728</v>
      </c>
      <c r="L42">
        <f t="shared" si="1"/>
        <v>0.92803278896656449</v>
      </c>
      <c r="N42" s="13" t="s">
        <v>47</v>
      </c>
      <c r="O42">
        <v>4.6907706945765941</v>
      </c>
      <c r="P42">
        <v>3.6847224786551172</v>
      </c>
      <c r="Q42" t="s">
        <v>400</v>
      </c>
      <c r="S42" s="13" t="s">
        <v>47</v>
      </c>
      <c r="T42">
        <v>2.758121403378504</v>
      </c>
      <c r="U42">
        <v>3.5134834490345681</v>
      </c>
      <c r="V42" t="s">
        <v>298</v>
      </c>
      <c r="X42">
        <f t="shared" si="2"/>
        <v>1.9326492911980901</v>
      </c>
      <c r="Y42">
        <f t="shared" si="3"/>
        <v>0.70071219085234293</v>
      </c>
    </row>
    <row r="43" spans="1:25" x14ac:dyDescent="0.25">
      <c r="A43" s="13" t="s">
        <v>48</v>
      </c>
      <c r="B43">
        <v>4.4770297930407086</v>
      </c>
      <c r="C43">
        <v>3.2261135265347609</v>
      </c>
      <c r="D43" t="s">
        <v>350</v>
      </c>
      <c r="F43" s="13" t="s">
        <v>48</v>
      </c>
      <c r="G43">
        <v>3.1992718706499619</v>
      </c>
      <c r="H43">
        <v>2.9622121278850089</v>
      </c>
      <c r="I43" t="s">
        <v>191</v>
      </c>
      <c r="K43">
        <f t="shared" si="0"/>
        <v>1.2777579223907467</v>
      </c>
      <c r="L43">
        <f t="shared" si="1"/>
        <v>0.39939022816812325</v>
      </c>
      <c r="N43" s="13" t="s">
        <v>48</v>
      </c>
      <c r="O43">
        <v>4.3235014272121788</v>
      </c>
      <c r="P43">
        <v>3.440229971402514</v>
      </c>
      <c r="Q43" t="s">
        <v>401</v>
      </c>
      <c r="S43" s="13" t="s">
        <v>48</v>
      </c>
      <c r="T43">
        <v>3.135697048449972</v>
      </c>
      <c r="U43">
        <v>3.5464611697249282</v>
      </c>
      <c r="V43" t="s">
        <v>299</v>
      </c>
      <c r="X43">
        <f t="shared" si="2"/>
        <v>1.1878043787622068</v>
      </c>
      <c r="Y43">
        <f t="shared" si="3"/>
        <v>0.37880074522803742</v>
      </c>
    </row>
    <row r="44" spans="1:25" x14ac:dyDescent="0.25">
      <c r="A44" s="13" t="s">
        <v>49</v>
      </c>
      <c r="B44">
        <v>6.918125994996589</v>
      </c>
      <c r="C44">
        <v>5.4594339601130253</v>
      </c>
      <c r="D44" t="s">
        <v>351</v>
      </c>
      <c r="F44" s="13" t="s">
        <v>49</v>
      </c>
      <c r="G44">
        <v>3.165006960059964</v>
      </c>
      <c r="H44">
        <v>3.1729393043249221</v>
      </c>
      <c r="I44" t="s">
        <v>192</v>
      </c>
      <c r="K44">
        <f t="shared" si="0"/>
        <v>3.753119034936625</v>
      </c>
      <c r="L44">
        <f t="shared" si="1"/>
        <v>1.185816992600079</v>
      </c>
      <c r="N44" s="13" t="s">
        <v>49</v>
      </c>
      <c r="O44">
        <v>7.6656517602283536</v>
      </c>
      <c r="P44">
        <v>6.4566067906517617</v>
      </c>
      <c r="Q44" t="s">
        <v>402</v>
      </c>
      <c r="S44" s="13" t="s">
        <v>49</v>
      </c>
      <c r="T44">
        <v>4.1188045294226843</v>
      </c>
      <c r="U44">
        <v>5.3109399717057197</v>
      </c>
      <c r="V44" t="s">
        <v>300</v>
      </c>
      <c r="X44">
        <f t="shared" si="2"/>
        <v>3.5468472308056693</v>
      </c>
      <c r="Y44">
        <f t="shared" si="3"/>
        <v>0.86113511953984767</v>
      </c>
    </row>
    <row r="45" spans="1:25" x14ac:dyDescent="0.25">
      <c r="A45" s="13" t="s">
        <v>50</v>
      </c>
      <c r="B45">
        <v>3.5618603593359111</v>
      </c>
      <c r="C45">
        <v>3.5490238247375401</v>
      </c>
      <c r="D45" t="s">
        <v>352</v>
      </c>
      <c r="F45" s="13" t="s">
        <v>50</v>
      </c>
      <c r="G45">
        <v>1.5684762822572009</v>
      </c>
      <c r="H45">
        <v>2.0633820418376021</v>
      </c>
      <c r="I45" t="s">
        <v>193</v>
      </c>
      <c r="K45">
        <f t="shared" si="0"/>
        <v>1.9933840770787101</v>
      </c>
      <c r="L45">
        <f t="shared" si="1"/>
        <v>1.2709048263133584</v>
      </c>
      <c r="N45" s="13" t="s">
        <v>50</v>
      </c>
      <c r="O45">
        <v>4.0081826831588963</v>
      </c>
      <c r="P45">
        <v>4.3393510218192963</v>
      </c>
      <c r="Q45" t="s">
        <v>403</v>
      </c>
      <c r="S45" s="13" t="s">
        <v>50</v>
      </c>
      <c r="T45">
        <v>2.161685539261184</v>
      </c>
      <c r="U45">
        <v>3.4431398478355981</v>
      </c>
      <c r="V45" t="s">
        <v>301</v>
      </c>
      <c r="X45">
        <f t="shared" si="2"/>
        <v>1.8464971438977122</v>
      </c>
      <c r="Y45">
        <f t="shared" si="3"/>
        <v>0.85419322577732737</v>
      </c>
    </row>
    <row r="46" spans="1:25" x14ac:dyDescent="0.25">
      <c r="A46" s="13" t="s">
        <v>136</v>
      </c>
      <c r="B46">
        <v>2.8882192403911762</v>
      </c>
      <c r="C46">
        <v>3.060092628603488</v>
      </c>
      <c r="D46" t="s">
        <v>353</v>
      </c>
      <c r="F46" s="13" t="s">
        <v>136</v>
      </c>
      <c r="G46">
        <v>1.0849127315558409</v>
      </c>
      <c r="H46">
        <v>1.489294423559933</v>
      </c>
      <c r="I46" t="s">
        <v>194</v>
      </c>
      <c r="K46">
        <f t="shared" si="0"/>
        <v>1.8033065088353353</v>
      </c>
      <c r="L46">
        <f t="shared" si="1"/>
        <v>1.6621673397170549</v>
      </c>
      <c r="N46" s="13" t="s">
        <v>136</v>
      </c>
      <c r="O46">
        <v>2.9644148430066601</v>
      </c>
      <c r="P46">
        <v>3.1855553309565798</v>
      </c>
      <c r="Q46" t="s">
        <v>404</v>
      </c>
      <c r="S46" s="13" t="s">
        <v>136</v>
      </c>
      <c r="T46">
        <v>1.2873584555411171</v>
      </c>
      <c r="U46">
        <v>2.1592368922160241</v>
      </c>
      <c r="V46" t="s">
        <v>302</v>
      </c>
      <c r="X46">
        <f t="shared" si="2"/>
        <v>1.6770563874655431</v>
      </c>
      <c r="Y46">
        <f t="shared" si="3"/>
        <v>1.3027112846830402</v>
      </c>
    </row>
    <row r="47" spans="1:25" x14ac:dyDescent="0.25">
      <c r="A47" s="13" t="s">
        <v>52</v>
      </c>
      <c r="B47">
        <v>0.6447577894018649</v>
      </c>
      <c r="C47">
        <v>1.2762527304447331</v>
      </c>
      <c r="D47" t="s">
        <v>354</v>
      </c>
      <c r="F47" s="13" t="s">
        <v>52</v>
      </c>
      <c r="G47">
        <v>0.3380447585394582</v>
      </c>
      <c r="H47">
        <v>0.74190084666119926</v>
      </c>
      <c r="I47" t="s">
        <v>195</v>
      </c>
      <c r="K47">
        <f t="shared" si="0"/>
        <v>0.3067130308624067</v>
      </c>
      <c r="L47">
        <f t="shared" si="1"/>
        <v>0.90731485436300796</v>
      </c>
      <c r="N47" s="13" t="s">
        <v>52</v>
      </c>
      <c r="O47">
        <v>0.87288296860133208</v>
      </c>
      <c r="P47">
        <v>1.653863860370107</v>
      </c>
      <c r="Q47" t="s">
        <v>405</v>
      </c>
      <c r="S47" s="13" t="s">
        <v>52</v>
      </c>
      <c r="T47">
        <v>0.5344347503248561</v>
      </c>
      <c r="U47">
        <v>1.369822382433588</v>
      </c>
      <c r="V47" t="s">
        <v>303</v>
      </c>
      <c r="X47">
        <f t="shared" si="2"/>
        <v>0.33844821827647598</v>
      </c>
      <c r="Y47">
        <f t="shared" si="3"/>
        <v>0.63328258140165894</v>
      </c>
    </row>
    <row r="48" spans="1:25" x14ac:dyDescent="0.25">
      <c r="A48" s="13" t="s">
        <v>53</v>
      </c>
      <c r="B48">
        <v>0.24732772344780529</v>
      </c>
      <c r="C48">
        <v>0.70875840309422289</v>
      </c>
      <c r="D48" t="s">
        <v>355</v>
      </c>
      <c r="F48" s="13" t="s">
        <v>53</v>
      </c>
      <c r="G48">
        <v>0.13620301959524581</v>
      </c>
      <c r="H48">
        <v>0.51041306718314028</v>
      </c>
      <c r="I48" t="s">
        <v>196</v>
      </c>
      <c r="K48">
        <f t="shared" si="0"/>
        <v>0.11112470385255949</v>
      </c>
      <c r="L48">
        <f t="shared" si="1"/>
        <v>0.81587547899296586</v>
      </c>
      <c r="N48" s="13" t="s">
        <v>53</v>
      </c>
      <c r="O48">
        <v>0.35623215984776402</v>
      </c>
      <c r="P48">
        <v>1.0131541951062899</v>
      </c>
      <c r="Q48" t="s">
        <v>406</v>
      </c>
      <c r="S48" s="13" t="s">
        <v>53</v>
      </c>
      <c r="T48">
        <v>0.2299981436792278</v>
      </c>
      <c r="U48">
        <v>0.77488811884608366</v>
      </c>
      <c r="V48" t="s">
        <v>304</v>
      </c>
      <c r="X48">
        <f t="shared" si="2"/>
        <v>0.12623401616853622</v>
      </c>
      <c r="Y48">
        <f t="shared" si="3"/>
        <v>0.54884797828886567</v>
      </c>
    </row>
    <row r="49" spans="1:25" x14ac:dyDescent="0.25">
      <c r="A49" s="13" t="s">
        <v>54</v>
      </c>
      <c r="B49">
        <v>0.68455765294518989</v>
      </c>
      <c r="C49">
        <v>1.526332158770072</v>
      </c>
      <c r="D49" t="s">
        <v>356</v>
      </c>
      <c r="F49" s="13" t="s">
        <v>54</v>
      </c>
      <c r="G49">
        <v>0.37348752543098829</v>
      </c>
      <c r="H49">
        <v>0.99211258200862207</v>
      </c>
      <c r="I49" t="s">
        <v>197</v>
      </c>
      <c r="K49">
        <f t="shared" si="0"/>
        <v>0.3110701275142016</v>
      </c>
      <c r="L49">
        <f t="shared" si="1"/>
        <v>0.83287956446534661</v>
      </c>
      <c r="N49" s="13" t="s">
        <v>54</v>
      </c>
      <c r="O49">
        <v>0.96384395813510937</v>
      </c>
      <c r="P49">
        <v>2.028777093815977</v>
      </c>
      <c r="Q49" t="s">
        <v>407</v>
      </c>
      <c r="S49" s="13" t="s">
        <v>54</v>
      </c>
      <c r="T49">
        <v>0.59996287358455536</v>
      </c>
      <c r="U49">
        <v>1.4879713267563071</v>
      </c>
      <c r="V49" t="s">
        <v>305</v>
      </c>
      <c r="X49">
        <f t="shared" si="2"/>
        <v>0.36388108455055401</v>
      </c>
      <c r="Y49">
        <f t="shared" si="3"/>
        <v>0.60650600324066661</v>
      </c>
    </row>
    <row r="50" spans="1:25" x14ac:dyDescent="0.25">
      <c r="A50" s="13" t="s">
        <v>141</v>
      </c>
      <c r="B50">
        <v>0.34341596543097569</v>
      </c>
      <c r="C50">
        <v>1.233137544022997</v>
      </c>
      <c r="D50" t="s">
        <v>357</v>
      </c>
      <c r="F50" s="13" t="s">
        <v>141</v>
      </c>
      <c r="G50">
        <v>0.22122282899668061</v>
      </c>
      <c r="H50">
        <v>0.76626740450021236</v>
      </c>
      <c r="I50" t="s">
        <v>198</v>
      </c>
      <c r="K50">
        <f t="shared" si="0"/>
        <v>0.12219313643429508</v>
      </c>
      <c r="L50">
        <f t="shared" si="1"/>
        <v>0.55235319514031056</v>
      </c>
      <c r="N50" s="13" t="s">
        <v>141</v>
      </c>
      <c r="O50">
        <v>0.21864890580399621</v>
      </c>
      <c r="P50">
        <v>0.72868420027390313</v>
      </c>
      <c r="Q50" t="s">
        <v>408</v>
      </c>
      <c r="S50" s="13" t="s">
        <v>141</v>
      </c>
      <c r="T50">
        <v>0.17059587896788561</v>
      </c>
      <c r="U50">
        <v>0.60512454292067208</v>
      </c>
      <c r="V50" t="s">
        <v>306</v>
      </c>
      <c r="X50">
        <f t="shared" si="2"/>
        <v>4.8053026836110596E-2</v>
      </c>
      <c r="Y50">
        <f t="shared" si="3"/>
        <v>0.28167753598055262</v>
      </c>
    </row>
    <row r="51" spans="1:25" x14ac:dyDescent="0.25">
      <c r="A51" s="13" t="s">
        <v>56</v>
      </c>
      <c r="B51">
        <v>0.245167159426882</v>
      </c>
      <c r="C51">
        <v>0.75252481531563464</v>
      </c>
      <c r="D51" t="s">
        <v>358</v>
      </c>
      <c r="F51" s="13" t="s">
        <v>56</v>
      </c>
      <c r="G51">
        <v>0.17978370275190059</v>
      </c>
      <c r="H51">
        <v>0.57460567490409786</v>
      </c>
      <c r="I51" t="s">
        <v>199</v>
      </c>
      <c r="K51">
        <f t="shared" si="0"/>
        <v>6.5383456674981411E-2</v>
      </c>
      <c r="L51">
        <f t="shared" si="1"/>
        <v>0.36367844067162092</v>
      </c>
      <c r="N51" s="13" t="s">
        <v>56</v>
      </c>
      <c r="O51">
        <v>0.15280685061845861</v>
      </c>
      <c r="P51">
        <v>0.60045283301294639</v>
      </c>
      <c r="Q51" t="s">
        <v>409</v>
      </c>
      <c r="S51" s="13" t="s">
        <v>56</v>
      </c>
      <c r="T51">
        <v>0.116391312418786</v>
      </c>
      <c r="U51">
        <v>0.51020456479885912</v>
      </c>
      <c r="V51" t="s">
        <v>216</v>
      </c>
      <c r="X51">
        <f t="shared" si="2"/>
        <v>3.6415538199672609E-2</v>
      </c>
      <c r="Y51">
        <f t="shared" si="3"/>
        <v>0.31287161767406108</v>
      </c>
    </row>
    <row r="52" spans="1:25" x14ac:dyDescent="0.25">
      <c r="A52" s="13" t="s">
        <v>144</v>
      </c>
      <c r="B52">
        <v>2.2970206959290421E-2</v>
      </c>
      <c r="C52">
        <v>0.21734207465006619</v>
      </c>
      <c r="D52" t="s">
        <v>359</v>
      </c>
      <c r="F52" s="13" t="s">
        <v>144</v>
      </c>
      <c r="G52">
        <v>3.2337509369311492E-2</v>
      </c>
      <c r="H52">
        <v>0.31663964236222569</v>
      </c>
      <c r="I52" t="s">
        <v>200</v>
      </c>
      <c r="K52">
        <f t="shared" si="0"/>
        <v>-9.3673024100210701E-3</v>
      </c>
      <c r="L52">
        <f t="shared" si="1"/>
        <v>-0.28967297088472438</v>
      </c>
      <c r="N52" s="13" t="s">
        <v>144</v>
      </c>
      <c r="O52">
        <v>1.9600380589914371E-2</v>
      </c>
      <c r="P52">
        <v>0.18763710165741049</v>
      </c>
      <c r="Q52" t="s">
        <v>410</v>
      </c>
      <c r="S52" s="13" t="s">
        <v>144</v>
      </c>
      <c r="T52">
        <v>2.6731019120103949E-2</v>
      </c>
      <c r="U52">
        <v>0.2030910107369743</v>
      </c>
      <c r="V52" t="s">
        <v>307</v>
      </c>
      <c r="X52">
        <f t="shared" si="2"/>
        <v>-7.1306385301895779E-3</v>
      </c>
      <c r="Y52">
        <f t="shared" si="3"/>
        <v>-0.26675520668146713</v>
      </c>
    </row>
    <row r="53" spans="1:25" x14ac:dyDescent="0.25">
      <c r="A53" s="13" t="s">
        <v>58</v>
      </c>
      <c r="B53">
        <v>2.826927450534455</v>
      </c>
      <c r="C53">
        <v>2.5791812656988911</v>
      </c>
      <c r="D53" t="s">
        <v>360</v>
      </c>
      <c r="F53" s="13" t="s">
        <v>58</v>
      </c>
      <c r="G53">
        <v>1.594389120890888</v>
      </c>
      <c r="H53">
        <v>1.8964279187263311</v>
      </c>
      <c r="I53" t="s">
        <v>201</v>
      </c>
      <c r="K53">
        <f t="shared" si="0"/>
        <v>1.232538329643567</v>
      </c>
      <c r="L53">
        <f t="shared" si="1"/>
        <v>0.77304737814246272</v>
      </c>
      <c r="N53" s="13" t="s">
        <v>58</v>
      </c>
      <c r="O53">
        <v>2.4315889628924832</v>
      </c>
      <c r="P53">
        <v>2.1564766089817939</v>
      </c>
      <c r="Q53" t="s">
        <v>411</v>
      </c>
      <c r="S53" s="13" t="s">
        <v>58</v>
      </c>
      <c r="T53">
        <v>1.522739929459811</v>
      </c>
      <c r="U53">
        <v>2.0681825832523222</v>
      </c>
      <c r="V53" t="s">
        <v>308</v>
      </c>
      <c r="X53">
        <f t="shared" si="2"/>
        <v>0.9088490334326722</v>
      </c>
      <c r="Y53">
        <f t="shared" si="3"/>
        <v>0.59685112069996393</v>
      </c>
    </row>
    <row r="54" spans="1:25" x14ac:dyDescent="0.25">
      <c r="A54" s="13" t="s">
        <v>59</v>
      </c>
      <c r="B54">
        <v>15.4247214009552</v>
      </c>
      <c r="C54">
        <v>8.6759697697901892</v>
      </c>
      <c r="D54" t="s">
        <v>361</v>
      </c>
      <c r="F54" s="13" t="s">
        <v>59</v>
      </c>
      <c r="G54">
        <v>12.41835314273477</v>
      </c>
      <c r="H54">
        <v>11.06068123296482</v>
      </c>
      <c r="I54" t="s">
        <v>202</v>
      </c>
      <c r="K54">
        <f t="shared" si="0"/>
        <v>3.0063682582204301</v>
      </c>
      <c r="L54">
        <f t="shared" si="1"/>
        <v>0.24209073648217799</v>
      </c>
      <c r="N54" s="13" t="s">
        <v>59</v>
      </c>
      <c r="O54">
        <v>17.31227402473834</v>
      </c>
      <c r="P54">
        <v>11.36981356536316</v>
      </c>
      <c r="Q54" t="s">
        <v>412</v>
      </c>
      <c r="S54" s="13" t="s">
        <v>59</v>
      </c>
      <c r="T54">
        <v>15.070911453499161</v>
      </c>
      <c r="U54">
        <v>13.112604038425831</v>
      </c>
      <c r="V54" t="s">
        <v>309</v>
      </c>
      <c r="X54">
        <f t="shared" si="2"/>
        <v>2.2413625712391791</v>
      </c>
      <c r="Y54">
        <f t="shared" si="3"/>
        <v>0.14872110277834458</v>
      </c>
    </row>
    <row r="55" spans="1:25" x14ac:dyDescent="0.25">
      <c r="A55" s="13" t="s">
        <v>148</v>
      </c>
      <c r="B55">
        <v>4.434841937684785E-3</v>
      </c>
      <c r="C55">
        <v>9.8219704406618202E-2</v>
      </c>
      <c r="D55" t="s">
        <v>362</v>
      </c>
      <c r="F55" s="13" t="s">
        <v>148</v>
      </c>
      <c r="G55">
        <v>2.54845272513117E-2</v>
      </c>
      <c r="H55">
        <v>0.25557285812892078</v>
      </c>
      <c r="I55" t="s">
        <v>203</v>
      </c>
      <c r="K55">
        <f t="shared" si="0"/>
        <v>-2.1049685313626915E-2</v>
      </c>
      <c r="L55">
        <f t="shared" si="1"/>
        <v>-0.82597903842000753</v>
      </c>
      <c r="N55" s="13" t="s">
        <v>148</v>
      </c>
      <c r="O55">
        <v>2.9686013320646999E-2</v>
      </c>
      <c r="P55">
        <v>0.20984930420710149</v>
      </c>
      <c r="Q55" t="s">
        <v>413</v>
      </c>
      <c r="S55" s="13" t="s">
        <v>148</v>
      </c>
      <c r="T55">
        <v>7.2767774271394095E-2</v>
      </c>
      <c r="U55">
        <v>0.34240879983187461</v>
      </c>
      <c r="V55" t="s">
        <v>310</v>
      </c>
      <c r="X55">
        <f t="shared" si="2"/>
        <v>-4.3081760950747096E-2</v>
      </c>
      <c r="Y55">
        <f t="shared" si="3"/>
        <v>-0.59204450571855771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BC74-6F32-4775-8595-F8ACBD1E54A7}">
  <dimension ref="A1:Y55"/>
  <sheetViews>
    <sheetView workbookViewId="0">
      <selection activeCell="Y3" sqref="Y3:Y55"/>
    </sheetView>
  </sheetViews>
  <sheetFormatPr defaultRowHeight="13.8" x14ac:dyDescent="0.25"/>
  <sheetData>
    <row r="1" spans="1:25" x14ac:dyDescent="0.25">
      <c r="A1" s="14" t="s">
        <v>150</v>
      </c>
      <c r="F1" s="14" t="s">
        <v>204</v>
      </c>
      <c r="N1" s="14" t="s">
        <v>258</v>
      </c>
      <c r="S1" s="14" t="s">
        <v>311</v>
      </c>
    </row>
    <row r="2" spans="1:25" x14ac:dyDescent="0.25">
      <c r="B2" s="13" t="s">
        <v>61</v>
      </c>
      <c r="C2" s="13" t="s">
        <v>62</v>
      </c>
      <c r="D2" s="13" t="s">
        <v>63</v>
      </c>
      <c r="G2" s="13" t="s">
        <v>61</v>
      </c>
      <c r="H2" s="13" t="s">
        <v>62</v>
      </c>
      <c r="I2" s="13" t="s">
        <v>63</v>
      </c>
      <c r="O2" s="13" t="s">
        <v>61</v>
      </c>
      <c r="P2" s="13" t="s">
        <v>62</v>
      </c>
      <c r="Q2" s="13" t="s">
        <v>63</v>
      </c>
      <c r="T2" s="13" t="s">
        <v>61</v>
      </c>
      <c r="U2" s="13" t="s">
        <v>62</v>
      </c>
      <c r="V2" s="13" t="s">
        <v>63</v>
      </c>
    </row>
    <row r="3" spans="1:25" x14ac:dyDescent="0.25">
      <c r="A3" s="13" t="s">
        <v>64</v>
      </c>
      <c r="B3">
        <v>8.4427999303499917</v>
      </c>
      <c r="C3">
        <v>6.4196526426080904</v>
      </c>
      <c r="D3" t="s">
        <v>414</v>
      </c>
      <c r="F3" s="13" t="s">
        <v>64</v>
      </c>
      <c r="G3">
        <v>2.9935753292643752</v>
      </c>
      <c r="H3">
        <v>3.1521633030259801</v>
      </c>
      <c r="I3" t="s">
        <v>151</v>
      </c>
      <c r="K3">
        <f>(B3-G3)</f>
        <v>5.449224601085616</v>
      </c>
      <c r="L3">
        <f>K3/G3</f>
        <v>1.8203064903079218</v>
      </c>
      <c r="N3" s="13" t="s">
        <v>64</v>
      </c>
      <c r="O3">
        <v>7.5148255813953488</v>
      </c>
      <c r="P3">
        <v>5.4151641060845916</v>
      </c>
      <c r="Q3" t="s">
        <v>467</v>
      </c>
      <c r="S3" s="13" t="s">
        <v>64</v>
      </c>
      <c r="T3">
        <v>3.5474289957304621</v>
      </c>
      <c r="U3">
        <v>3.8169358926420238</v>
      </c>
      <c r="V3" t="s">
        <v>259</v>
      </c>
      <c r="X3">
        <f>(O3-T3)</f>
        <v>3.9673965856648867</v>
      </c>
      <c r="Y3">
        <f>X3/T3</f>
        <v>1.1183864681829798</v>
      </c>
    </row>
    <row r="4" spans="1:25" x14ac:dyDescent="0.25">
      <c r="A4" s="13" t="s">
        <v>66</v>
      </c>
      <c r="B4">
        <v>1.504266063033258</v>
      </c>
      <c r="C4">
        <v>1.78179410332829</v>
      </c>
      <c r="D4" t="s">
        <v>415</v>
      </c>
      <c r="F4" s="13" t="s">
        <v>66</v>
      </c>
      <c r="G4">
        <v>0.56869043794838847</v>
      </c>
      <c r="H4">
        <v>1.0198650734536201</v>
      </c>
      <c r="I4" t="s">
        <v>152</v>
      </c>
      <c r="K4">
        <f t="shared" ref="K4:K55" si="0">(B4-G4)</f>
        <v>0.93557562508486958</v>
      </c>
      <c r="L4">
        <f t="shared" ref="L4:L55" si="1">K4/G4</f>
        <v>1.6451404185026544</v>
      </c>
      <c r="N4" s="13" t="s">
        <v>66</v>
      </c>
      <c r="O4">
        <v>1.218895348837209</v>
      </c>
      <c r="P4">
        <v>1.591465662533575</v>
      </c>
      <c r="Q4" t="s">
        <v>468</v>
      </c>
      <c r="S4" s="13" t="s">
        <v>66</v>
      </c>
      <c r="T4">
        <v>0.68702431780211626</v>
      </c>
      <c r="U4">
        <v>1.216326840942932</v>
      </c>
      <c r="V4" t="s">
        <v>260</v>
      </c>
      <c r="X4">
        <f t="shared" ref="X4:X55" si="2">(O4-T4)</f>
        <v>0.5318710310350927</v>
      </c>
      <c r="Y4">
        <f t="shared" ref="Y4:Y55" si="3">X4/T4</f>
        <v>0.7741662372834488</v>
      </c>
    </row>
    <row r="5" spans="1:25" x14ac:dyDescent="0.25">
      <c r="A5" s="13" t="s">
        <v>68</v>
      </c>
      <c r="B5">
        <v>1.4953856869232109</v>
      </c>
      <c r="C5">
        <v>1.867596971152186</v>
      </c>
      <c r="D5" t="s">
        <v>416</v>
      </c>
      <c r="F5" s="13" t="s">
        <v>68</v>
      </c>
      <c r="G5">
        <v>0.51772138344576513</v>
      </c>
      <c r="H5">
        <v>0.9813978250697255</v>
      </c>
      <c r="I5" t="s">
        <v>153</v>
      </c>
      <c r="K5">
        <f t="shared" si="0"/>
        <v>0.97766430347744582</v>
      </c>
      <c r="L5">
        <f t="shared" si="1"/>
        <v>1.8883985377819783</v>
      </c>
      <c r="N5" s="13" t="s">
        <v>68</v>
      </c>
      <c r="O5">
        <v>1.4552325581395349</v>
      </c>
      <c r="P5">
        <v>1.8074758178756209</v>
      </c>
      <c r="Q5" t="s">
        <v>469</v>
      </c>
      <c r="S5" s="13" t="s">
        <v>68</v>
      </c>
      <c r="T5">
        <v>0.62650826062743648</v>
      </c>
      <c r="U5">
        <v>1.1157095341735781</v>
      </c>
      <c r="V5" t="s">
        <v>261</v>
      </c>
      <c r="X5">
        <f t="shared" si="2"/>
        <v>0.82872429751209842</v>
      </c>
      <c r="Y5">
        <f t="shared" si="3"/>
        <v>1.3227667527993108</v>
      </c>
    </row>
    <row r="6" spans="1:25" x14ac:dyDescent="0.25">
      <c r="A6" s="13" t="s">
        <v>11</v>
      </c>
      <c r="B6">
        <v>4.7746822218352776</v>
      </c>
      <c r="C6">
        <v>8.2916453483976333</v>
      </c>
      <c r="D6" t="s">
        <v>417</v>
      </c>
      <c r="F6" s="13" t="s">
        <v>11</v>
      </c>
      <c r="G6">
        <v>3.4564728557661422</v>
      </c>
      <c r="H6">
        <v>3.7763432704169868</v>
      </c>
      <c r="I6" t="s">
        <v>154</v>
      </c>
      <c r="K6">
        <f t="shared" si="0"/>
        <v>1.3182093660691354</v>
      </c>
      <c r="L6">
        <f t="shared" si="1"/>
        <v>0.3813741409454664</v>
      </c>
      <c r="N6" s="13" t="s">
        <v>11</v>
      </c>
      <c r="O6">
        <v>3.9898255813953489</v>
      </c>
      <c r="P6">
        <v>6.8999126361535179</v>
      </c>
      <c r="Q6" t="s">
        <v>470</v>
      </c>
      <c r="S6" s="13" t="s">
        <v>11</v>
      </c>
      <c r="T6">
        <v>3.2370521626137001</v>
      </c>
      <c r="U6">
        <v>4.6342715879039131</v>
      </c>
      <c r="V6" t="s">
        <v>262</v>
      </c>
      <c r="X6">
        <f t="shared" si="2"/>
        <v>0.75277341878164883</v>
      </c>
      <c r="Y6">
        <f t="shared" si="3"/>
        <v>0.23254905419066071</v>
      </c>
    </row>
    <row r="7" spans="1:25" x14ac:dyDescent="0.25">
      <c r="A7" s="13" t="s">
        <v>71</v>
      </c>
      <c r="B7">
        <v>5.3329270416158803</v>
      </c>
      <c r="C7">
        <v>4.2706552081299769</v>
      </c>
      <c r="D7" t="s">
        <v>418</v>
      </c>
      <c r="F7" s="13" t="s">
        <v>71</v>
      </c>
      <c r="G7">
        <v>1.834993039940036</v>
      </c>
      <c r="H7">
        <v>2.0875238599279871</v>
      </c>
      <c r="I7" t="s">
        <v>155</v>
      </c>
      <c r="K7">
        <f t="shared" si="0"/>
        <v>3.4979340016758442</v>
      </c>
      <c r="L7">
        <f t="shared" si="1"/>
        <v>1.9062382938466893</v>
      </c>
      <c r="N7" s="13" t="s">
        <v>71</v>
      </c>
      <c r="O7">
        <v>4.7345930232558144</v>
      </c>
      <c r="P7">
        <v>3.6960201724187862</v>
      </c>
      <c r="Q7" t="s">
        <v>471</v>
      </c>
      <c r="S7" s="13" t="s">
        <v>71</v>
      </c>
      <c r="T7">
        <v>2.127157972897717</v>
      </c>
      <c r="U7">
        <v>2.5368394798857921</v>
      </c>
      <c r="V7" t="s">
        <v>263</v>
      </c>
      <c r="X7">
        <f t="shared" si="2"/>
        <v>2.6074350503580974</v>
      </c>
      <c r="Y7">
        <f t="shared" si="3"/>
        <v>1.2257834554742184</v>
      </c>
    </row>
    <row r="8" spans="1:25" x14ac:dyDescent="0.25">
      <c r="A8" s="13" t="s">
        <v>73</v>
      </c>
      <c r="B8">
        <v>0.26292878286609778</v>
      </c>
      <c r="C8">
        <v>0.62416472054699823</v>
      </c>
      <c r="D8" t="s">
        <v>419</v>
      </c>
      <c r="F8" s="13" t="s">
        <v>73</v>
      </c>
      <c r="G8">
        <v>0.1752864332369633</v>
      </c>
      <c r="H8">
        <v>0.48184607305947952</v>
      </c>
      <c r="I8" t="s">
        <v>156</v>
      </c>
      <c r="K8">
        <f t="shared" si="0"/>
        <v>8.7642349629134475E-2</v>
      </c>
      <c r="L8">
        <f t="shared" si="1"/>
        <v>0.49999505387079213</v>
      </c>
      <c r="N8" s="13" t="s">
        <v>73</v>
      </c>
      <c r="O8">
        <v>0.2148255813953488</v>
      </c>
      <c r="P8">
        <v>0.54945686665390314</v>
      </c>
      <c r="Q8" t="s">
        <v>472</v>
      </c>
      <c r="S8" s="13" t="s">
        <v>73</v>
      </c>
      <c r="T8">
        <v>0.17356599220345281</v>
      </c>
      <c r="U8">
        <v>0.4693968677723801</v>
      </c>
      <c r="V8" t="s">
        <v>264</v>
      </c>
      <c r="X8">
        <f t="shared" si="2"/>
        <v>4.1259589191895985E-2</v>
      </c>
      <c r="Y8">
        <f t="shared" si="3"/>
        <v>0.23771701280935145</v>
      </c>
    </row>
    <row r="9" spans="1:25" x14ac:dyDescent="0.25">
      <c r="A9" s="13" t="s">
        <v>75</v>
      </c>
      <c r="B9">
        <v>1.5429218178652271</v>
      </c>
      <c r="C9">
        <v>1.6596072947159419</v>
      </c>
      <c r="D9" t="s">
        <v>420</v>
      </c>
      <c r="F9" s="13" t="s">
        <v>75</v>
      </c>
      <c r="G9">
        <v>0.455187921619017</v>
      </c>
      <c r="H9">
        <v>0.7822454338251954</v>
      </c>
      <c r="I9" t="s">
        <v>157</v>
      </c>
      <c r="K9">
        <f t="shared" si="0"/>
        <v>1.0877338962462102</v>
      </c>
      <c r="L9">
        <f t="shared" si="1"/>
        <v>2.3896369929530366</v>
      </c>
      <c r="N9" s="13" t="s">
        <v>75</v>
      </c>
      <c r="O9">
        <v>1.4037790697674419</v>
      </c>
      <c r="P9">
        <v>1.517001725245396</v>
      </c>
      <c r="Q9" t="s">
        <v>473</v>
      </c>
      <c r="S9" s="13" t="s">
        <v>75</v>
      </c>
      <c r="T9">
        <v>0.5658065713755337</v>
      </c>
      <c r="U9">
        <v>1.001059740224991</v>
      </c>
      <c r="V9" t="s">
        <v>265</v>
      </c>
      <c r="X9">
        <f t="shared" si="2"/>
        <v>0.83797249839190824</v>
      </c>
      <c r="Y9">
        <f t="shared" si="3"/>
        <v>1.4810229162851738</v>
      </c>
    </row>
    <row r="10" spans="1:25" x14ac:dyDescent="0.25">
      <c r="A10" s="13" t="s">
        <v>77</v>
      </c>
      <c r="B10">
        <v>0.87741598467699811</v>
      </c>
      <c r="C10">
        <v>1.3162238752041271</v>
      </c>
      <c r="D10" t="s">
        <v>421</v>
      </c>
      <c r="F10" s="13" t="s">
        <v>77</v>
      </c>
      <c r="G10">
        <v>0.35153656708427028</v>
      </c>
      <c r="H10">
        <v>0.69856701305966162</v>
      </c>
      <c r="I10" t="s">
        <v>158</v>
      </c>
      <c r="K10">
        <f t="shared" si="0"/>
        <v>0.52587941759272783</v>
      </c>
      <c r="L10">
        <f t="shared" si="1"/>
        <v>1.4959451358204341</v>
      </c>
      <c r="N10" s="13" t="s">
        <v>77</v>
      </c>
      <c r="O10">
        <v>0.97558139534883725</v>
      </c>
      <c r="P10">
        <v>1.4285288346228879</v>
      </c>
      <c r="Q10" t="s">
        <v>474</v>
      </c>
      <c r="S10" s="13" t="s">
        <v>77</v>
      </c>
      <c r="T10">
        <v>0.51085947651754227</v>
      </c>
      <c r="U10">
        <v>1.00075303253336</v>
      </c>
      <c r="V10" t="s">
        <v>266</v>
      </c>
      <c r="X10">
        <f t="shared" si="2"/>
        <v>0.46472191883129499</v>
      </c>
      <c r="Y10">
        <f t="shared" si="3"/>
        <v>0.90968640143320711</v>
      </c>
    </row>
    <row r="11" spans="1:25" x14ac:dyDescent="0.25">
      <c r="A11" s="13" t="s">
        <v>79</v>
      </c>
      <c r="B11">
        <v>2.6404318300539789</v>
      </c>
      <c r="C11">
        <v>2.781879331924987</v>
      </c>
      <c r="D11" t="s">
        <v>422</v>
      </c>
      <c r="F11" s="13" t="s">
        <v>79</v>
      </c>
      <c r="G11">
        <v>0.84355926758753619</v>
      </c>
      <c r="H11">
        <v>1.290293602575237</v>
      </c>
      <c r="I11" t="s">
        <v>159</v>
      </c>
      <c r="K11">
        <f t="shared" si="0"/>
        <v>1.7968725624664428</v>
      </c>
      <c r="L11">
        <f t="shared" si="1"/>
        <v>2.1301082585521844</v>
      </c>
      <c r="N11" s="13" t="s">
        <v>79</v>
      </c>
      <c r="O11">
        <v>2.128488372093023</v>
      </c>
      <c r="P11">
        <v>2.1947363701983389</v>
      </c>
      <c r="Q11" t="s">
        <v>475</v>
      </c>
      <c r="S11" s="13" t="s">
        <v>79</v>
      </c>
      <c r="T11">
        <v>0.86374605531835902</v>
      </c>
      <c r="U11">
        <v>1.321505797314702</v>
      </c>
      <c r="V11" t="s">
        <v>267</v>
      </c>
      <c r="X11">
        <f t="shared" si="2"/>
        <v>1.2647423167746639</v>
      </c>
      <c r="Y11">
        <f t="shared" si="3"/>
        <v>1.4642524952643701</v>
      </c>
    </row>
    <row r="12" spans="1:25" x14ac:dyDescent="0.25">
      <c r="A12" s="13" t="s">
        <v>81</v>
      </c>
      <c r="B12">
        <v>7.8368448546056069</v>
      </c>
      <c r="C12">
        <v>7.2432257789305323</v>
      </c>
      <c r="D12" t="s">
        <v>423</v>
      </c>
      <c r="F12" s="13" t="s">
        <v>81</v>
      </c>
      <c r="G12">
        <v>2.8424884891315991</v>
      </c>
      <c r="H12">
        <v>3.5377488926139629</v>
      </c>
      <c r="I12" t="s">
        <v>160</v>
      </c>
      <c r="K12">
        <f t="shared" si="0"/>
        <v>4.9943563654740082</v>
      </c>
      <c r="L12">
        <f t="shared" si="1"/>
        <v>1.7570366193461069</v>
      </c>
      <c r="N12" s="13" t="s">
        <v>81</v>
      </c>
      <c r="O12">
        <v>6.1828488372093027</v>
      </c>
      <c r="P12">
        <v>5.6850044322248001</v>
      </c>
      <c r="Q12" t="s">
        <v>476</v>
      </c>
      <c r="S12" s="13" t="s">
        <v>81</v>
      </c>
      <c r="T12">
        <v>2.9974011509188792</v>
      </c>
      <c r="U12">
        <v>3.732863148917565</v>
      </c>
      <c r="V12" t="s">
        <v>268</v>
      </c>
      <c r="X12">
        <f t="shared" si="2"/>
        <v>3.1854476862904235</v>
      </c>
      <c r="Y12">
        <f t="shared" si="3"/>
        <v>1.0627365260448696</v>
      </c>
    </row>
    <row r="13" spans="1:25" x14ac:dyDescent="0.25">
      <c r="A13" s="13" t="s">
        <v>18</v>
      </c>
      <c r="B13">
        <v>0.35504091938011489</v>
      </c>
      <c r="C13">
        <v>1.3179012614108361</v>
      </c>
      <c r="D13" t="s">
        <v>424</v>
      </c>
      <c r="F13" s="13" t="s">
        <v>18</v>
      </c>
      <c r="G13">
        <v>0.25366741621158578</v>
      </c>
      <c r="H13">
        <v>1.0236056180156039</v>
      </c>
      <c r="I13" t="s">
        <v>161</v>
      </c>
      <c r="K13">
        <f t="shared" si="0"/>
        <v>0.10137350316852911</v>
      </c>
      <c r="L13">
        <f t="shared" si="1"/>
        <v>0.39963155174795001</v>
      </c>
      <c r="N13" s="13" t="s">
        <v>18</v>
      </c>
      <c r="O13">
        <v>0.41976744186046511</v>
      </c>
      <c r="P13">
        <v>1.39118813391537</v>
      </c>
      <c r="Q13" t="s">
        <v>477</v>
      </c>
      <c r="S13" s="13" t="s">
        <v>18</v>
      </c>
      <c r="T13">
        <v>0.30053833302394661</v>
      </c>
      <c r="U13">
        <v>0.99033844028025997</v>
      </c>
      <c r="V13" t="s">
        <v>269</v>
      </c>
      <c r="X13">
        <f t="shared" si="2"/>
        <v>0.11922910883651849</v>
      </c>
      <c r="Y13">
        <f t="shared" si="3"/>
        <v>0.39671847393596354</v>
      </c>
    </row>
    <row r="14" spans="1:25" x14ac:dyDescent="0.25">
      <c r="A14" s="13" t="s">
        <v>19</v>
      </c>
      <c r="B14">
        <v>7.8704509838063735E-2</v>
      </c>
      <c r="C14">
        <v>0.44682898405096472</v>
      </c>
      <c r="D14" t="s">
        <v>425</v>
      </c>
      <c r="F14" s="13" t="s">
        <v>19</v>
      </c>
      <c r="G14">
        <v>6.7459042724060392E-2</v>
      </c>
      <c r="H14">
        <v>0.31515936180451759</v>
      </c>
      <c r="I14" t="s">
        <v>162</v>
      </c>
      <c r="K14">
        <f t="shared" si="0"/>
        <v>1.1245467114003344E-2</v>
      </c>
      <c r="L14">
        <f t="shared" si="1"/>
        <v>0.16670066250424956</v>
      </c>
      <c r="N14" s="13" t="s">
        <v>19</v>
      </c>
      <c r="O14">
        <v>8.7499999999999994E-2</v>
      </c>
      <c r="P14">
        <v>0.39429727391294361</v>
      </c>
      <c r="Q14" t="s">
        <v>478</v>
      </c>
      <c r="S14" s="13" t="s">
        <v>19</v>
      </c>
      <c r="T14">
        <v>6.0330425097456841E-2</v>
      </c>
      <c r="U14">
        <v>0.30143628573274772</v>
      </c>
      <c r="V14" t="s">
        <v>270</v>
      </c>
      <c r="X14">
        <f t="shared" si="2"/>
        <v>2.7169574902543153E-2</v>
      </c>
      <c r="Y14">
        <f t="shared" si="3"/>
        <v>0.45034615384615373</v>
      </c>
    </row>
    <row r="15" spans="1:25" x14ac:dyDescent="0.25">
      <c r="A15" s="13" t="s">
        <v>20</v>
      </c>
      <c r="B15">
        <v>1.3642695455336931</v>
      </c>
      <c r="C15">
        <v>2.0888463361750138</v>
      </c>
      <c r="D15" t="s">
        <v>426</v>
      </c>
      <c r="F15" s="13" t="s">
        <v>20</v>
      </c>
      <c r="G15">
        <v>0.79066281186422527</v>
      </c>
      <c r="H15">
        <v>1.4031046640754361</v>
      </c>
      <c r="I15" t="s">
        <v>163</v>
      </c>
      <c r="K15">
        <f t="shared" si="0"/>
        <v>0.57360673366946779</v>
      </c>
      <c r="L15">
        <f t="shared" si="1"/>
        <v>0.72547579709360233</v>
      </c>
      <c r="N15" s="13" t="s">
        <v>20</v>
      </c>
      <c r="O15">
        <v>1.2947674418604651</v>
      </c>
      <c r="P15">
        <v>2.0558575110720101</v>
      </c>
      <c r="Q15" t="s">
        <v>479</v>
      </c>
      <c r="S15" s="13" t="s">
        <v>20</v>
      </c>
      <c r="T15">
        <v>0.8195656209392983</v>
      </c>
      <c r="U15">
        <v>1.50606015473095</v>
      </c>
      <c r="V15" t="s">
        <v>271</v>
      </c>
      <c r="X15">
        <f t="shared" si="2"/>
        <v>0.47520182092116681</v>
      </c>
      <c r="Y15">
        <f t="shared" si="3"/>
        <v>0.5798215649608891</v>
      </c>
    </row>
    <row r="16" spans="1:25" x14ac:dyDescent="0.25">
      <c r="A16" s="13" t="s">
        <v>86</v>
      </c>
      <c r="B16">
        <v>7.5617273202159154</v>
      </c>
      <c r="C16">
        <v>6.5787551064340821</v>
      </c>
      <c r="D16" t="s">
        <v>427</v>
      </c>
      <c r="F16" s="13" t="s">
        <v>86</v>
      </c>
      <c r="G16">
        <v>2.0325516650604989</v>
      </c>
      <c r="H16">
        <v>2.3108251008213849</v>
      </c>
      <c r="I16" t="s">
        <v>164</v>
      </c>
      <c r="K16">
        <f t="shared" si="0"/>
        <v>5.5291756551554165</v>
      </c>
      <c r="L16">
        <f t="shared" si="1"/>
        <v>2.7203124772677505</v>
      </c>
      <c r="N16" s="13" t="s">
        <v>86</v>
      </c>
      <c r="O16">
        <v>6.1148255813953476</v>
      </c>
      <c r="P16">
        <v>5.3590383114995586</v>
      </c>
      <c r="Q16" t="s">
        <v>480</v>
      </c>
      <c r="S16" s="13" t="s">
        <v>86</v>
      </c>
      <c r="T16">
        <v>2.137739001299424</v>
      </c>
      <c r="U16">
        <v>2.8883737415017938</v>
      </c>
      <c r="V16" t="s">
        <v>272</v>
      </c>
      <c r="X16">
        <f t="shared" si="2"/>
        <v>3.9770865800959236</v>
      </c>
      <c r="Y16">
        <f t="shared" si="3"/>
        <v>1.8604172809114925</v>
      </c>
    </row>
    <row r="17" spans="1:25" x14ac:dyDescent="0.25">
      <c r="A17" s="13" t="s">
        <v>88</v>
      </c>
      <c r="B17">
        <v>2.705380463172558</v>
      </c>
      <c r="C17">
        <v>3.3194985558714429</v>
      </c>
      <c r="D17" t="s">
        <v>428</v>
      </c>
      <c r="F17" s="13" t="s">
        <v>88</v>
      </c>
      <c r="G17">
        <v>0.76378627262019483</v>
      </c>
      <c r="H17">
        <v>1.234842237715176</v>
      </c>
      <c r="I17" t="s">
        <v>165</v>
      </c>
      <c r="K17">
        <f t="shared" si="0"/>
        <v>1.941594190552363</v>
      </c>
      <c r="L17">
        <f t="shared" si="1"/>
        <v>2.5420647897895021</v>
      </c>
      <c r="N17" s="13" t="s">
        <v>88</v>
      </c>
      <c r="O17">
        <v>2.9799418604651162</v>
      </c>
      <c r="P17">
        <v>3.142242648119395</v>
      </c>
      <c r="Q17" t="s">
        <v>481</v>
      </c>
      <c r="S17" s="13" t="s">
        <v>88</v>
      </c>
      <c r="T17">
        <v>0.97865231111936146</v>
      </c>
      <c r="U17">
        <v>1.6394541976085231</v>
      </c>
      <c r="V17" t="s">
        <v>273</v>
      </c>
      <c r="X17">
        <f t="shared" si="2"/>
        <v>2.0012895493457545</v>
      </c>
      <c r="Y17">
        <f t="shared" si="3"/>
        <v>2.0449443858735923</v>
      </c>
    </row>
    <row r="18" spans="1:25" x14ac:dyDescent="0.25">
      <c r="A18" s="13" t="s">
        <v>90</v>
      </c>
      <c r="B18">
        <v>2.728887341110918</v>
      </c>
      <c r="C18">
        <v>3.253936275809211</v>
      </c>
      <c r="D18" t="s">
        <v>429</v>
      </c>
      <c r="F18" s="13" t="s">
        <v>90</v>
      </c>
      <c r="G18">
        <v>0.85780062105150445</v>
      </c>
      <c r="H18">
        <v>1.326499734164031</v>
      </c>
      <c r="I18" t="s">
        <v>166</v>
      </c>
      <c r="K18">
        <f t="shared" si="0"/>
        <v>1.8710867200594135</v>
      </c>
      <c r="L18">
        <f t="shared" si="1"/>
        <v>2.1812606264679641</v>
      </c>
      <c r="N18" s="13" t="s">
        <v>90</v>
      </c>
      <c r="O18">
        <v>1.680232558139535</v>
      </c>
      <c r="P18">
        <v>2.5327316891517251</v>
      </c>
      <c r="Q18" t="s">
        <v>482</v>
      </c>
      <c r="S18" s="13" t="s">
        <v>90</v>
      </c>
      <c r="T18">
        <v>0.73881566734731763</v>
      </c>
      <c r="U18">
        <v>1.4420038073151851</v>
      </c>
      <c r="V18" t="s">
        <v>274</v>
      </c>
      <c r="X18">
        <f t="shared" si="2"/>
        <v>0.94141689079221735</v>
      </c>
      <c r="Y18">
        <f t="shared" si="3"/>
        <v>1.2742243192707725</v>
      </c>
    </row>
    <row r="19" spans="1:25" x14ac:dyDescent="0.25">
      <c r="A19" s="13" t="s">
        <v>92</v>
      </c>
      <c r="B19">
        <v>0.4844158105519763</v>
      </c>
      <c r="C19">
        <v>0.99058219505990386</v>
      </c>
      <c r="D19" t="s">
        <v>430</v>
      </c>
      <c r="F19" s="13" t="s">
        <v>92</v>
      </c>
      <c r="G19">
        <v>0.14616125923546419</v>
      </c>
      <c r="H19">
        <v>0.44648143474556218</v>
      </c>
      <c r="I19" t="s">
        <v>167</v>
      </c>
      <c r="K19">
        <f t="shared" si="0"/>
        <v>0.33825455131651211</v>
      </c>
      <c r="L19">
        <f t="shared" si="1"/>
        <v>2.3142558642819826</v>
      </c>
      <c r="N19" s="13" t="s">
        <v>92</v>
      </c>
      <c r="O19">
        <v>0.33866279069767441</v>
      </c>
      <c r="P19">
        <v>0.80317374400088659</v>
      </c>
      <c r="Q19" t="s">
        <v>483</v>
      </c>
      <c r="S19" s="13" t="s">
        <v>92</v>
      </c>
      <c r="T19">
        <v>0.119732689808799</v>
      </c>
      <c r="U19">
        <v>0.44816173921846297</v>
      </c>
      <c r="V19" t="s">
        <v>275</v>
      </c>
      <c r="X19">
        <f t="shared" si="2"/>
        <v>0.21893010088887541</v>
      </c>
      <c r="Y19">
        <f t="shared" si="3"/>
        <v>1.8284906255633664</v>
      </c>
    </row>
    <row r="20" spans="1:25" x14ac:dyDescent="0.25">
      <c r="A20" s="13" t="s">
        <v>25</v>
      </c>
      <c r="B20">
        <v>1.096987637123455</v>
      </c>
      <c r="C20">
        <v>1.8903676110751919</v>
      </c>
      <c r="D20" t="s">
        <v>431</v>
      </c>
      <c r="F20" s="13" t="s">
        <v>25</v>
      </c>
      <c r="G20">
        <v>0.29842595566977193</v>
      </c>
      <c r="H20">
        <v>0.75375030517239427</v>
      </c>
      <c r="I20" t="s">
        <v>168</v>
      </c>
      <c r="K20">
        <f t="shared" si="0"/>
        <v>0.79856168145368311</v>
      </c>
      <c r="L20">
        <f t="shared" si="1"/>
        <v>2.6759122867226215</v>
      </c>
      <c r="N20" s="13" t="s">
        <v>25</v>
      </c>
      <c r="O20">
        <v>0.50552325581395352</v>
      </c>
      <c r="P20">
        <v>1.220391713477192</v>
      </c>
      <c r="Q20" t="s">
        <v>484</v>
      </c>
      <c r="S20" s="13" t="s">
        <v>25</v>
      </c>
      <c r="T20">
        <v>0.21923148320029701</v>
      </c>
      <c r="U20">
        <v>0.6913189923548877</v>
      </c>
      <c r="V20" t="s">
        <v>276</v>
      </c>
      <c r="X20">
        <f t="shared" si="2"/>
        <v>0.28629177261365651</v>
      </c>
      <c r="Y20">
        <f t="shared" si="3"/>
        <v>1.3058880432428177</v>
      </c>
    </row>
    <row r="21" spans="1:25" x14ac:dyDescent="0.25">
      <c r="A21" s="13" t="s">
        <v>95</v>
      </c>
      <c r="B21">
        <v>0.38063729757966219</v>
      </c>
      <c r="C21">
        <v>0.86797655085873326</v>
      </c>
      <c r="D21" t="s">
        <v>432</v>
      </c>
      <c r="F21" s="13" t="s">
        <v>95</v>
      </c>
      <c r="G21">
        <v>0.13855873219830819</v>
      </c>
      <c r="H21">
        <v>0.42976443867490921</v>
      </c>
      <c r="I21" t="s">
        <v>169</v>
      </c>
      <c r="K21">
        <f t="shared" si="0"/>
        <v>0.242078565381354</v>
      </c>
      <c r="L21">
        <f t="shared" si="1"/>
        <v>1.7471187960560004</v>
      </c>
      <c r="N21" s="13" t="s">
        <v>95</v>
      </c>
      <c r="O21">
        <v>0.30377906976744179</v>
      </c>
      <c r="P21">
        <v>0.82902263669846976</v>
      </c>
      <c r="Q21" t="s">
        <v>485</v>
      </c>
      <c r="S21" s="13" t="s">
        <v>95</v>
      </c>
      <c r="T21">
        <v>0.1336550956005198</v>
      </c>
      <c r="U21">
        <v>0.44733155498255328</v>
      </c>
      <c r="V21" t="s">
        <v>277</v>
      </c>
      <c r="X21">
        <f t="shared" si="2"/>
        <v>0.17012397416692199</v>
      </c>
      <c r="Y21">
        <f t="shared" si="3"/>
        <v>1.2728581233850118</v>
      </c>
    </row>
    <row r="22" spans="1:25" x14ac:dyDescent="0.25">
      <c r="A22" s="13" t="s">
        <v>97</v>
      </c>
      <c r="B22">
        <v>25.002437750304718</v>
      </c>
      <c r="C22">
        <v>19.147887151148009</v>
      </c>
      <c r="D22" t="s">
        <v>433</v>
      </c>
      <c r="F22" s="13" t="s">
        <v>97</v>
      </c>
      <c r="G22">
        <v>6.3329050219509586</v>
      </c>
      <c r="H22">
        <v>6.125988569077137</v>
      </c>
      <c r="I22" t="s">
        <v>170</v>
      </c>
      <c r="K22">
        <f t="shared" si="0"/>
        <v>18.669532728353758</v>
      </c>
      <c r="L22">
        <f t="shared" si="1"/>
        <v>2.9480203261602513</v>
      </c>
      <c r="N22" s="13" t="s">
        <v>97</v>
      </c>
      <c r="O22">
        <v>19.966569767441861</v>
      </c>
      <c r="P22">
        <v>15.401283122370931</v>
      </c>
      <c r="Q22" t="s">
        <v>486</v>
      </c>
      <c r="S22" s="13" t="s">
        <v>97</v>
      </c>
      <c r="T22">
        <v>7.2157044737330613</v>
      </c>
      <c r="U22">
        <v>8.3950163743745012</v>
      </c>
      <c r="V22" t="s">
        <v>278</v>
      </c>
      <c r="X22">
        <f t="shared" si="2"/>
        <v>12.750865293708799</v>
      </c>
      <c r="Y22">
        <f t="shared" si="3"/>
        <v>1.7670991571405237</v>
      </c>
    </row>
    <row r="23" spans="1:25" x14ac:dyDescent="0.25">
      <c r="A23" s="13" t="s">
        <v>28</v>
      </c>
      <c r="B23">
        <v>6.495733936966742</v>
      </c>
      <c r="C23">
        <v>5.7778394172774732</v>
      </c>
      <c r="D23" t="s">
        <v>434</v>
      </c>
      <c r="F23" s="13" t="s">
        <v>28</v>
      </c>
      <c r="G23">
        <v>1.6286540314808871</v>
      </c>
      <c r="H23">
        <v>1.916275283963585</v>
      </c>
      <c r="I23" t="s">
        <v>171</v>
      </c>
      <c r="K23">
        <f t="shared" si="0"/>
        <v>4.8670799054858547</v>
      </c>
      <c r="L23">
        <f t="shared" si="1"/>
        <v>2.9884062614945681</v>
      </c>
      <c r="N23" s="13" t="s">
        <v>28</v>
      </c>
      <c r="O23">
        <v>4.8252906976744194</v>
      </c>
      <c r="P23">
        <v>4.2240260369500939</v>
      </c>
      <c r="Q23" t="s">
        <v>487</v>
      </c>
      <c r="S23" s="13" t="s">
        <v>28</v>
      </c>
      <c r="T23">
        <v>1.771486912938556</v>
      </c>
      <c r="U23">
        <v>2.2700074016962022</v>
      </c>
      <c r="V23" t="s">
        <v>279</v>
      </c>
      <c r="X23">
        <f t="shared" si="2"/>
        <v>3.0538037847358632</v>
      </c>
      <c r="Y23">
        <f t="shared" si="3"/>
        <v>1.7238647163755729</v>
      </c>
    </row>
    <row r="24" spans="1:25" x14ac:dyDescent="0.25">
      <c r="A24" s="13" t="s">
        <v>100</v>
      </c>
      <c r="B24">
        <v>3.6157060769632601</v>
      </c>
      <c r="C24">
        <v>3.4839249524301521</v>
      </c>
      <c r="D24" t="s">
        <v>435</v>
      </c>
      <c r="F24" s="13" t="s">
        <v>100</v>
      </c>
      <c r="G24">
        <v>0.74129992504550812</v>
      </c>
      <c r="H24">
        <v>1.108534070417452</v>
      </c>
      <c r="I24" t="s">
        <v>172</v>
      </c>
      <c r="K24">
        <f t="shared" si="0"/>
        <v>2.8744061519177517</v>
      </c>
      <c r="L24">
        <f t="shared" si="1"/>
        <v>3.8775211689671938</v>
      </c>
      <c r="N24" s="13" t="s">
        <v>100</v>
      </c>
      <c r="O24">
        <v>2.4601744186046508</v>
      </c>
      <c r="P24">
        <v>2.647374329219065</v>
      </c>
      <c r="Q24" t="s">
        <v>488</v>
      </c>
      <c r="S24" s="13" t="s">
        <v>100</v>
      </c>
      <c r="T24">
        <v>0.75255244106181551</v>
      </c>
      <c r="U24">
        <v>1.27438359490447</v>
      </c>
      <c r="V24" t="s">
        <v>280</v>
      </c>
      <c r="X24">
        <f t="shared" si="2"/>
        <v>1.7076219775428352</v>
      </c>
      <c r="Y24">
        <f t="shared" si="3"/>
        <v>2.2691069543717939</v>
      </c>
    </row>
    <row r="25" spans="1:25" x14ac:dyDescent="0.25">
      <c r="A25" s="13" t="s">
        <v>102</v>
      </c>
      <c r="B25">
        <v>1.9775378721922341</v>
      </c>
      <c r="C25">
        <v>2.7603105338683052</v>
      </c>
      <c r="D25" t="s">
        <v>436</v>
      </c>
      <c r="F25" s="13" t="s">
        <v>102</v>
      </c>
      <c r="G25">
        <v>0.6419316843345112</v>
      </c>
      <c r="H25">
        <v>1.147068280728164</v>
      </c>
      <c r="I25" t="s">
        <v>173</v>
      </c>
      <c r="K25">
        <f t="shared" si="0"/>
        <v>1.335606187857723</v>
      </c>
      <c r="L25">
        <f t="shared" si="1"/>
        <v>2.0806048687912053</v>
      </c>
      <c r="N25" s="13" t="s">
        <v>102</v>
      </c>
      <c r="O25">
        <v>1.816279069767442</v>
      </c>
      <c r="P25">
        <v>2.6617976494093232</v>
      </c>
      <c r="Q25" t="s">
        <v>489</v>
      </c>
      <c r="S25" s="13" t="s">
        <v>102</v>
      </c>
      <c r="T25">
        <v>0.79803229998143677</v>
      </c>
      <c r="U25">
        <v>1.5136621992108019</v>
      </c>
      <c r="V25" t="s">
        <v>281</v>
      </c>
      <c r="X25">
        <f t="shared" si="2"/>
        <v>1.0182467697860051</v>
      </c>
      <c r="Y25">
        <f t="shared" si="3"/>
        <v>1.2759468129418958</v>
      </c>
    </row>
    <row r="26" spans="1:25" x14ac:dyDescent="0.25">
      <c r="A26" s="13" t="s">
        <v>104</v>
      </c>
      <c r="B26">
        <v>2.372975796621974</v>
      </c>
      <c r="C26">
        <v>2.945253572681036</v>
      </c>
      <c r="D26" t="s">
        <v>437</v>
      </c>
      <c r="F26" s="13" t="s">
        <v>104</v>
      </c>
      <c r="G26">
        <v>0.69707677481529073</v>
      </c>
      <c r="H26">
        <v>1.1743506290143511</v>
      </c>
      <c r="I26" t="s">
        <v>174</v>
      </c>
      <c r="K26">
        <f t="shared" si="0"/>
        <v>1.6758990218066834</v>
      </c>
      <c r="L26">
        <f t="shared" si="1"/>
        <v>2.4041814077807397</v>
      </c>
      <c r="N26" s="13" t="s">
        <v>104</v>
      </c>
      <c r="O26">
        <v>1.819767441860465</v>
      </c>
      <c r="P26">
        <v>2.634144897509247</v>
      </c>
      <c r="Q26" t="s">
        <v>490</v>
      </c>
      <c r="S26" s="13" t="s">
        <v>104</v>
      </c>
      <c r="T26">
        <v>0.76758863931687393</v>
      </c>
      <c r="U26">
        <v>1.4193912608961949</v>
      </c>
      <c r="V26" t="s">
        <v>282</v>
      </c>
      <c r="X26">
        <f t="shared" si="2"/>
        <v>1.0521788025435912</v>
      </c>
      <c r="Y26">
        <f t="shared" si="3"/>
        <v>1.3707586963246254</v>
      </c>
    </row>
    <row r="27" spans="1:25" x14ac:dyDescent="0.25">
      <c r="A27" s="13" t="s">
        <v>106</v>
      </c>
      <c r="B27">
        <v>1.7877415984677001</v>
      </c>
      <c r="C27">
        <v>2.0658885939065841</v>
      </c>
      <c r="D27" t="s">
        <v>438</v>
      </c>
      <c r="F27" s="13" t="s">
        <v>106</v>
      </c>
      <c r="G27">
        <v>0.52628761109326483</v>
      </c>
      <c r="H27">
        <v>0.89693180106343606</v>
      </c>
      <c r="I27" t="s">
        <v>175</v>
      </c>
      <c r="K27">
        <f t="shared" si="0"/>
        <v>1.2614539873744353</v>
      </c>
      <c r="L27">
        <f t="shared" si="1"/>
        <v>2.3968909029684333</v>
      </c>
      <c r="N27" s="13" t="s">
        <v>106</v>
      </c>
      <c r="O27">
        <v>1.497383720930233</v>
      </c>
      <c r="P27">
        <v>1.780477672566825</v>
      </c>
      <c r="Q27" t="s">
        <v>415</v>
      </c>
      <c r="S27" s="13" t="s">
        <v>106</v>
      </c>
      <c r="T27">
        <v>0.56302209021718952</v>
      </c>
      <c r="U27">
        <v>1.076308174785181</v>
      </c>
      <c r="V27" t="s">
        <v>283</v>
      </c>
      <c r="X27">
        <f t="shared" si="2"/>
        <v>0.93436163071304346</v>
      </c>
      <c r="Y27">
        <f t="shared" si="3"/>
        <v>1.6595470176891411</v>
      </c>
    </row>
    <row r="28" spans="1:25" x14ac:dyDescent="0.25">
      <c r="A28" s="13" t="s">
        <v>108</v>
      </c>
      <c r="B28">
        <v>6.8129897266237158</v>
      </c>
      <c r="C28">
        <v>6.2066350123046137</v>
      </c>
      <c r="D28" t="s">
        <v>439</v>
      </c>
      <c r="F28" s="13" t="s">
        <v>108</v>
      </c>
      <c r="G28">
        <v>1.4999464610772031</v>
      </c>
      <c r="H28">
        <v>1.893466745824838</v>
      </c>
      <c r="I28" t="s">
        <v>176</v>
      </c>
      <c r="K28">
        <f t="shared" si="0"/>
        <v>5.3130432655465132</v>
      </c>
      <c r="L28">
        <f t="shared" si="1"/>
        <v>3.5421552724827876</v>
      </c>
      <c r="N28" s="13" t="s">
        <v>108</v>
      </c>
      <c r="O28">
        <v>5.5465116279069768</v>
      </c>
      <c r="P28">
        <v>4.7739405450704009</v>
      </c>
      <c r="Q28" t="s">
        <v>491</v>
      </c>
      <c r="S28" s="13" t="s">
        <v>108</v>
      </c>
      <c r="T28">
        <v>1.777241507332467</v>
      </c>
      <c r="U28">
        <v>2.4643273644602162</v>
      </c>
      <c r="V28" t="s">
        <v>284</v>
      </c>
      <c r="X28">
        <f t="shared" si="2"/>
        <v>3.7692701205745101</v>
      </c>
      <c r="Y28">
        <f t="shared" si="3"/>
        <v>2.120854203001346</v>
      </c>
    </row>
    <row r="29" spans="1:25" x14ac:dyDescent="0.25">
      <c r="A29" s="13" t="s">
        <v>110</v>
      </c>
      <c r="B29">
        <v>1.011492251436531</v>
      </c>
      <c r="C29">
        <v>1.4225164435918849</v>
      </c>
      <c r="D29" t="s">
        <v>440</v>
      </c>
      <c r="F29" s="13" t="s">
        <v>110</v>
      </c>
      <c r="G29">
        <v>0.5571260306242638</v>
      </c>
      <c r="H29">
        <v>1.0993813006571109</v>
      </c>
      <c r="I29" t="s">
        <v>177</v>
      </c>
      <c r="K29">
        <f t="shared" si="0"/>
        <v>0.45436622081226719</v>
      </c>
      <c r="L29">
        <f t="shared" si="1"/>
        <v>0.81555374517888979</v>
      </c>
      <c r="N29" s="13" t="s">
        <v>110</v>
      </c>
      <c r="O29">
        <v>0.90494186046511627</v>
      </c>
      <c r="P29">
        <v>1.3658822030490101</v>
      </c>
      <c r="Q29" t="s">
        <v>492</v>
      </c>
      <c r="S29" s="13" t="s">
        <v>110</v>
      </c>
      <c r="T29">
        <v>0.62038240207907924</v>
      </c>
      <c r="U29">
        <v>1.20792976653385</v>
      </c>
      <c r="V29" t="s">
        <v>285</v>
      </c>
      <c r="X29">
        <f t="shared" si="2"/>
        <v>0.28455945838603702</v>
      </c>
      <c r="Y29">
        <f t="shared" si="3"/>
        <v>0.45868396239544629</v>
      </c>
    </row>
    <row r="30" spans="1:25" x14ac:dyDescent="0.25">
      <c r="A30" s="13" t="s">
        <v>112</v>
      </c>
      <c r="B30">
        <v>1.7492599686574959</v>
      </c>
      <c r="C30">
        <v>2.2464389698104501</v>
      </c>
      <c r="D30" t="s">
        <v>441</v>
      </c>
      <c r="F30" s="13" t="s">
        <v>112</v>
      </c>
      <c r="G30">
        <v>0.42756183745583037</v>
      </c>
      <c r="H30">
        <v>0.96666131370855002</v>
      </c>
      <c r="I30" t="s">
        <v>178</v>
      </c>
      <c r="K30">
        <f t="shared" si="0"/>
        <v>1.3216981312016656</v>
      </c>
      <c r="L30">
        <f t="shared" si="1"/>
        <v>3.0912443895047219</v>
      </c>
      <c r="N30" s="13" t="s">
        <v>112</v>
      </c>
      <c r="O30">
        <v>1.5892441860465121</v>
      </c>
      <c r="P30">
        <v>2.3126265066743898</v>
      </c>
      <c r="Q30" t="s">
        <v>493</v>
      </c>
      <c r="S30" s="13" t="s">
        <v>112</v>
      </c>
      <c r="T30">
        <v>0.54909968442546875</v>
      </c>
      <c r="U30">
        <v>1.334631347708775</v>
      </c>
      <c r="V30" t="s">
        <v>286</v>
      </c>
      <c r="X30">
        <f t="shared" si="2"/>
        <v>1.0401445016210433</v>
      </c>
      <c r="Y30">
        <f t="shared" si="3"/>
        <v>1.8942726268534686</v>
      </c>
    </row>
    <row r="31" spans="1:25" x14ac:dyDescent="0.25">
      <c r="A31" s="13" t="s">
        <v>114</v>
      </c>
      <c r="B31">
        <v>1.280863660107957</v>
      </c>
      <c r="C31">
        <v>1.8690110164927161</v>
      </c>
      <c r="D31" t="s">
        <v>442</v>
      </c>
      <c r="F31" s="13" t="s">
        <v>114</v>
      </c>
      <c r="G31">
        <v>0.67598243923332257</v>
      </c>
      <c r="H31">
        <v>1.091229608458518</v>
      </c>
      <c r="I31" t="s">
        <v>179</v>
      </c>
      <c r="K31">
        <f t="shared" si="0"/>
        <v>0.60488122087463447</v>
      </c>
      <c r="L31">
        <f t="shared" si="1"/>
        <v>0.89481795053828794</v>
      </c>
      <c r="N31" s="13" t="s">
        <v>114</v>
      </c>
      <c r="O31">
        <v>1.3566860465116279</v>
      </c>
      <c r="P31">
        <v>1.8767912812833201</v>
      </c>
      <c r="Q31" t="s">
        <v>494</v>
      </c>
      <c r="S31" s="13" t="s">
        <v>114</v>
      </c>
      <c r="T31">
        <v>0.73788750696120287</v>
      </c>
      <c r="U31">
        <v>1.185527998695322</v>
      </c>
      <c r="V31" t="s">
        <v>287</v>
      </c>
      <c r="X31">
        <f t="shared" si="2"/>
        <v>0.61879853955042508</v>
      </c>
      <c r="Y31">
        <f t="shared" si="3"/>
        <v>0.83860823460582135</v>
      </c>
    </row>
    <row r="32" spans="1:25" x14ac:dyDescent="0.25">
      <c r="A32" s="13" t="s">
        <v>116</v>
      </c>
      <c r="B32">
        <v>0.43008880376110048</v>
      </c>
      <c r="C32">
        <v>1.110702867289963</v>
      </c>
      <c r="D32" t="s">
        <v>443</v>
      </c>
      <c r="F32" s="13" t="s">
        <v>116</v>
      </c>
      <c r="G32">
        <v>0.31052575222186529</v>
      </c>
      <c r="H32">
        <v>0.72390531669165059</v>
      </c>
      <c r="I32" t="s">
        <v>180</v>
      </c>
      <c r="K32">
        <f t="shared" si="0"/>
        <v>0.11956305153923519</v>
      </c>
      <c r="L32">
        <f t="shared" si="1"/>
        <v>0.38503425459479912</v>
      </c>
      <c r="N32" s="13" t="s">
        <v>116</v>
      </c>
      <c r="O32">
        <v>0.49156976744186048</v>
      </c>
      <c r="P32">
        <v>1.1205027746252809</v>
      </c>
      <c r="Q32" t="s">
        <v>495</v>
      </c>
      <c r="S32" s="13" t="s">
        <v>116</v>
      </c>
      <c r="T32">
        <v>0.28587339892333402</v>
      </c>
      <c r="U32">
        <v>0.70087672083260288</v>
      </c>
      <c r="V32" t="s">
        <v>288</v>
      </c>
      <c r="X32">
        <f t="shared" si="2"/>
        <v>0.20569636851852646</v>
      </c>
      <c r="Y32">
        <f t="shared" si="3"/>
        <v>0.71953658260344266</v>
      </c>
    </row>
    <row r="33" spans="1:25" x14ac:dyDescent="0.25">
      <c r="A33" s="13" t="s">
        <v>118</v>
      </c>
      <c r="B33">
        <v>0.34198154274769282</v>
      </c>
      <c r="C33">
        <v>0.93169249052872383</v>
      </c>
      <c r="D33" t="s">
        <v>444</v>
      </c>
      <c r="F33" s="13" t="s">
        <v>118</v>
      </c>
      <c r="G33">
        <v>0.20173466109861871</v>
      </c>
      <c r="H33">
        <v>0.55611747096946806</v>
      </c>
      <c r="I33" t="s">
        <v>181</v>
      </c>
      <c r="K33">
        <f t="shared" si="0"/>
        <v>0.14024688164907412</v>
      </c>
      <c r="L33">
        <f t="shared" si="1"/>
        <v>0.69520468562670013</v>
      </c>
      <c r="N33" s="13" t="s">
        <v>118</v>
      </c>
      <c r="O33">
        <v>0.26831395348837211</v>
      </c>
      <c r="P33">
        <v>0.73648454538163521</v>
      </c>
      <c r="Q33" t="s">
        <v>496</v>
      </c>
      <c r="S33" s="13" t="s">
        <v>118</v>
      </c>
      <c r="T33">
        <v>0.22628550213476889</v>
      </c>
      <c r="U33">
        <v>0.6366626998720859</v>
      </c>
      <c r="V33" t="s">
        <v>289</v>
      </c>
      <c r="X33">
        <f t="shared" si="2"/>
        <v>4.2028451353603224E-2</v>
      </c>
      <c r="Y33">
        <f t="shared" si="3"/>
        <v>0.18573196672835157</v>
      </c>
    </row>
    <row r="34" spans="1:25" x14ac:dyDescent="0.25">
      <c r="A34" s="13" t="s">
        <v>120</v>
      </c>
      <c r="B34">
        <v>0.14173776771722099</v>
      </c>
      <c r="C34">
        <v>0.47666287732565571</v>
      </c>
      <c r="D34" t="s">
        <v>445</v>
      </c>
      <c r="F34" s="13" t="s">
        <v>120</v>
      </c>
      <c r="G34">
        <v>7.9772994967341262E-2</v>
      </c>
      <c r="H34">
        <v>0.32913255909975803</v>
      </c>
      <c r="I34" t="s">
        <v>182</v>
      </c>
      <c r="K34">
        <f t="shared" si="0"/>
        <v>6.1964772749879729E-2</v>
      </c>
      <c r="L34">
        <f t="shared" si="1"/>
        <v>0.77676377545117681</v>
      </c>
      <c r="N34" s="13" t="s">
        <v>120</v>
      </c>
      <c r="O34">
        <v>0.21308139534883719</v>
      </c>
      <c r="P34">
        <v>0.67152687125842492</v>
      </c>
      <c r="Q34" t="s">
        <v>497</v>
      </c>
      <c r="S34" s="13" t="s">
        <v>120</v>
      </c>
      <c r="T34">
        <v>0.1132355671059959</v>
      </c>
      <c r="U34">
        <v>0.41663477379087721</v>
      </c>
      <c r="V34" t="s">
        <v>290</v>
      </c>
      <c r="X34">
        <f t="shared" si="2"/>
        <v>9.9845828242841286E-2</v>
      </c>
      <c r="Y34">
        <f t="shared" si="3"/>
        <v>0.88175324056423943</v>
      </c>
    </row>
    <row r="35" spans="1:25" x14ac:dyDescent="0.25">
      <c r="A35" s="13" t="s">
        <v>122</v>
      </c>
      <c r="B35">
        <v>1.1013407626675951</v>
      </c>
      <c r="C35">
        <v>2.794388430555657</v>
      </c>
      <c r="D35" t="s">
        <v>446</v>
      </c>
      <c r="F35" s="13" t="s">
        <v>122</v>
      </c>
      <c r="G35">
        <v>0.68433451118963484</v>
      </c>
      <c r="H35">
        <v>1.521580962310173</v>
      </c>
      <c r="I35" t="s">
        <v>183</v>
      </c>
      <c r="K35">
        <f t="shared" si="0"/>
        <v>0.41700625147796022</v>
      </c>
      <c r="L35">
        <f t="shared" si="1"/>
        <v>0.60936025388087478</v>
      </c>
      <c r="N35" s="13" t="s">
        <v>122</v>
      </c>
      <c r="O35">
        <v>1.742441860465116</v>
      </c>
      <c r="P35">
        <v>4.0774632016980279</v>
      </c>
      <c r="Q35" t="s">
        <v>498</v>
      </c>
      <c r="S35" s="13" t="s">
        <v>122</v>
      </c>
      <c r="T35">
        <v>0.93298682012251721</v>
      </c>
      <c r="U35">
        <v>2.0679511307883152</v>
      </c>
      <c r="V35" t="s">
        <v>291</v>
      </c>
      <c r="X35">
        <f t="shared" si="2"/>
        <v>0.80945504034259874</v>
      </c>
      <c r="Y35">
        <f t="shared" si="3"/>
        <v>0.86759536456935515</v>
      </c>
    </row>
    <row r="36" spans="1:25" x14ac:dyDescent="0.25">
      <c r="A36" s="13" t="s">
        <v>41</v>
      </c>
      <c r="B36">
        <v>0.25439665679958212</v>
      </c>
      <c r="C36">
        <v>0.94532954161648874</v>
      </c>
      <c r="D36" t="s">
        <v>447</v>
      </c>
      <c r="F36" s="13" t="s">
        <v>41</v>
      </c>
      <c r="G36">
        <v>0.19605953528215009</v>
      </c>
      <c r="H36">
        <v>0.57282044204443883</v>
      </c>
      <c r="I36" t="s">
        <v>184</v>
      </c>
      <c r="K36">
        <f t="shared" si="0"/>
        <v>5.8337121517432033E-2</v>
      </c>
      <c r="L36">
        <f t="shared" si="1"/>
        <v>0.29754799445728991</v>
      </c>
      <c r="N36" s="13" t="s">
        <v>41</v>
      </c>
      <c r="O36">
        <v>0.36540697674418599</v>
      </c>
      <c r="P36">
        <v>1.22773079025923</v>
      </c>
      <c r="Q36" t="s">
        <v>322</v>
      </c>
      <c r="S36" s="13" t="s">
        <v>41</v>
      </c>
      <c r="T36">
        <v>0.2331538889920178</v>
      </c>
      <c r="U36">
        <v>0.6997371947686295</v>
      </c>
      <c r="V36" t="s">
        <v>292</v>
      </c>
      <c r="X36">
        <f t="shared" si="2"/>
        <v>0.13225308775216818</v>
      </c>
      <c r="Y36">
        <f t="shared" si="3"/>
        <v>0.56723517812175961</v>
      </c>
    </row>
    <row r="37" spans="1:25" x14ac:dyDescent="0.25">
      <c r="A37" s="13" t="s">
        <v>42</v>
      </c>
      <c r="B37">
        <v>0.55632944454118061</v>
      </c>
      <c r="C37">
        <v>1.8240014910465709</v>
      </c>
      <c r="D37" t="s">
        <v>448</v>
      </c>
      <c r="F37" s="13" t="s">
        <v>42</v>
      </c>
      <c r="G37">
        <v>0.28065103330121</v>
      </c>
      <c r="H37">
        <v>1.006692833325028</v>
      </c>
      <c r="I37" t="s">
        <v>185</v>
      </c>
      <c r="K37">
        <f t="shared" si="0"/>
        <v>0.27567841123997061</v>
      </c>
      <c r="L37">
        <f t="shared" si="1"/>
        <v>0.98228183234264987</v>
      </c>
      <c r="N37" s="13" t="s">
        <v>42</v>
      </c>
      <c r="O37">
        <v>0.97005813953488373</v>
      </c>
      <c r="P37">
        <v>2.9159953333393762</v>
      </c>
      <c r="Q37" t="s">
        <v>499</v>
      </c>
      <c r="S37" s="13" t="s">
        <v>42</v>
      </c>
      <c r="T37">
        <v>0.45052905142008542</v>
      </c>
      <c r="U37">
        <v>1.5297256374413759</v>
      </c>
      <c r="V37" t="s">
        <v>293</v>
      </c>
      <c r="X37">
        <f t="shared" si="2"/>
        <v>0.51952908811479825</v>
      </c>
      <c r="Y37">
        <f t="shared" si="3"/>
        <v>1.1531533570969996</v>
      </c>
    </row>
    <row r="38" spans="1:25" x14ac:dyDescent="0.25">
      <c r="A38" s="13" t="s">
        <v>43</v>
      </c>
      <c r="B38">
        <v>0.16855302106912759</v>
      </c>
      <c r="C38">
        <v>0.73462893478446001</v>
      </c>
      <c r="D38" t="s">
        <v>449</v>
      </c>
      <c r="F38" s="13" t="s">
        <v>43</v>
      </c>
      <c r="G38">
        <v>0.1036513545347468</v>
      </c>
      <c r="H38">
        <v>0.40920882463083191</v>
      </c>
      <c r="I38" t="s">
        <v>186</v>
      </c>
      <c r="K38">
        <f t="shared" si="0"/>
        <v>6.4901666534380786E-2</v>
      </c>
      <c r="L38">
        <f t="shared" si="1"/>
        <v>0.62615357826919615</v>
      </c>
      <c r="N38" s="13" t="s">
        <v>43</v>
      </c>
      <c r="O38">
        <v>0.15872093023255809</v>
      </c>
      <c r="P38">
        <v>0.61514716950904813</v>
      </c>
      <c r="Q38" t="s">
        <v>500</v>
      </c>
      <c r="S38" s="13" t="s">
        <v>43</v>
      </c>
      <c r="T38">
        <v>0.10209764247261929</v>
      </c>
      <c r="U38">
        <v>0.44734773461239358</v>
      </c>
      <c r="V38" t="s">
        <v>294</v>
      </c>
      <c r="X38">
        <f t="shared" si="2"/>
        <v>5.6623287759938801E-2</v>
      </c>
      <c r="Y38">
        <f t="shared" si="3"/>
        <v>0.55459936575052771</v>
      </c>
    </row>
    <row r="39" spans="1:25" x14ac:dyDescent="0.25">
      <c r="A39" s="13" t="s">
        <v>127</v>
      </c>
      <c r="B39">
        <v>0.16211039526379939</v>
      </c>
      <c r="C39">
        <v>1.0719561917253431</v>
      </c>
      <c r="D39" t="s">
        <v>450</v>
      </c>
      <c r="F39" s="13" t="s">
        <v>127</v>
      </c>
      <c r="G39">
        <v>0.121319199057715</v>
      </c>
      <c r="H39">
        <v>0.56676207444811222</v>
      </c>
      <c r="I39" t="s">
        <v>187</v>
      </c>
      <c r="K39">
        <f t="shared" si="0"/>
        <v>4.0791196206084387E-2</v>
      </c>
      <c r="L39">
        <f t="shared" si="1"/>
        <v>0.33623034542685082</v>
      </c>
      <c r="N39" s="13" t="s">
        <v>127</v>
      </c>
      <c r="O39">
        <v>0.29593023255813949</v>
      </c>
      <c r="P39">
        <v>1.434297517933204</v>
      </c>
      <c r="Q39" t="s">
        <v>501</v>
      </c>
      <c r="S39" s="13" t="s">
        <v>127</v>
      </c>
      <c r="T39">
        <v>0.16614070911453499</v>
      </c>
      <c r="U39">
        <v>0.69268954199269883</v>
      </c>
      <c r="V39" t="s">
        <v>295</v>
      </c>
      <c r="X39">
        <f t="shared" si="2"/>
        <v>0.1297895234436045</v>
      </c>
      <c r="Y39">
        <f t="shared" si="3"/>
        <v>0.78120241652591893</v>
      </c>
    </row>
    <row r="40" spans="1:25" x14ac:dyDescent="0.25">
      <c r="A40" s="13" t="s">
        <v>129</v>
      </c>
      <c r="B40">
        <v>16.983283997910501</v>
      </c>
      <c r="C40">
        <v>10.593535183351801</v>
      </c>
      <c r="D40" t="s">
        <v>451</v>
      </c>
      <c r="F40" s="13" t="s">
        <v>129</v>
      </c>
      <c r="G40">
        <v>6.2147981582610559</v>
      </c>
      <c r="H40">
        <v>5.0860565452696296</v>
      </c>
      <c r="I40" t="s">
        <v>188</v>
      </c>
      <c r="K40">
        <f t="shared" si="0"/>
        <v>10.768485839649445</v>
      </c>
      <c r="L40">
        <f t="shared" si="1"/>
        <v>1.7327169065555852</v>
      </c>
      <c r="N40" s="13" t="s">
        <v>129</v>
      </c>
      <c r="O40">
        <v>14.68255813953488</v>
      </c>
      <c r="P40">
        <v>9.7632836641108991</v>
      </c>
      <c r="Q40" t="s">
        <v>502</v>
      </c>
      <c r="S40" s="13" t="s">
        <v>129</v>
      </c>
      <c r="T40">
        <v>6.7000185632077223</v>
      </c>
      <c r="U40">
        <v>7.004285330875188</v>
      </c>
      <c r="V40" t="s">
        <v>296</v>
      </c>
      <c r="X40">
        <f t="shared" si="2"/>
        <v>7.9825395763271576</v>
      </c>
      <c r="Y40">
        <f t="shared" si="3"/>
        <v>1.1914205163791982</v>
      </c>
    </row>
    <row r="41" spans="1:25" x14ac:dyDescent="0.25">
      <c r="A41" s="13" t="s">
        <v>46</v>
      </c>
      <c r="B41">
        <v>3.1043008880376108</v>
      </c>
      <c r="C41">
        <v>3.0502160811040162</v>
      </c>
      <c r="D41" t="s">
        <v>452</v>
      </c>
      <c r="F41" s="13" t="s">
        <v>46</v>
      </c>
      <c r="G41">
        <v>1.0239854374129991</v>
      </c>
      <c r="H41">
        <v>1.406035519309988</v>
      </c>
      <c r="I41" t="s">
        <v>189</v>
      </c>
      <c r="K41">
        <f t="shared" si="0"/>
        <v>2.080315450624612</v>
      </c>
      <c r="L41">
        <f t="shared" si="1"/>
        <v>2.0315869490100655</v>
      </c>
      <c r="N41" s="13" t="s">
        <v>46</v>
      </c>
      <c r="O41">
        <v>3.058139534883721</v>
      </c>
      <c r="P41">
        <v>2.91112774628118</v>
      </c>
      <c r="Q41" t="s">
        <v>503</v>
      </c>
      <c r="S41" s="13" t="s">
        <v>46</v>
      </c>
      <c r="T41">
        <v>1.3796175979209211</v>
      </c>
      <c r="U41">
        <v>1.946303017229789</v>
      </c>
      <c r="V41" t="s">
        <v>297</v>
      </c>
      <c r="X41">
        <f t="shared" si="2"/>
        <v>1.6785219369627999</v>
      </c>
      <c r="Y41">
        <f t="shared" si="3"/>
        <v>1.2166573835331809</v>
      </c>
    </row>
    <row r="42" spans="1:25" x14ac:dyDescent="0.25">
      <c r="A42" s="13" t="s">
        <v>47</v>
      </c>
      <c r="B42">
        <v>8.0341285042660626</v>
      </c>
      <c r="C42">
        <v>5.9685304820487612</v>
      </c>
      <c r="D42" t="s">
        <v>453</v>
      </c>
      <c r="F42" s="13" t="s">
        <v>47</v>
      </c>
      <c r="G42">
        <v>2.499303994003641</v>
      </c>
      <c r="H42">
        <v>2.5999972295972071</v>
      </c>
      <c r="I42" t="s">
        <v>190</v>
      </c>
      <c r="K42">
        <f t="shared" si="0"/>
        <v>5.5348245102624212</v>
      </c>
      <c r="L42">
        <f t="shared" si="1"/>
        <v>2.2145463391174647</v>
      </c>
      <c r="N42" s="13" t="s">
        <v>47</v>
      </c>
      <c r="O42">
        <v>6.7593023255813964</v>
      </c>
      <c r="P42">
        <v>5.2807953154965421</v>
      </c>
      <c r="Q42" t="s">
        <v>504</v>
      </c>
      <c r="S42" s="13" t="s">
        <v>47</v>
      </c>
      <c r="T42">
        <v>2.758121403378504</v>
      </c>
      <c r="U42">
        <v>3.5134834490345681</v>
      </c>
      <c r="V42" t="s">
        <v>298</v>
      </c>
      <c r="X42">
        <f t="shared" si="2"/>
        <v>4.0011809222028925</v>
      </c>
      <c r="Y42">
        <f t="shared" si="3"/>
        <v>1.4506906466487401</v>
      </c>
    </row>
    <row r="43" spans="1:25" x14ac:dyDescent="0.25">
      <c r="A43" s="13" t="s">
        <v>48</v>
      </c>
      <c r="B43">
        <v>6.7654535956816986</v>
      </c>
      <c r="C43">
        <v>4.4974753162605863</v>
      </c>
      <c r="D43" t="s">
        <v>454</v>
      </c>
      <c r="F43" s="13" t="s">
        <v>48</v>
      </c>
      <c r="G43">
        <v>3.1992718706499619</v>
      </c>
      <c r="H43">
        <v>2.9622121278850089</v>
      </c>
      <c r="I43" t="s">
        <v>191</v>
      </c>
      <c r="K43">
        <f t="shared" si="0"/>
        <v>3.5661817250317367</v>
      </c>
      <c r="L43">
        <f t="shared" si="1"/>
        <v>1.1146854250643081</v>
      </c>
      <c r="N43" s="13" t="s">
        <v>48</v>
      </c>
      <c r="O43">
        <v>5.754360465116279</v>
      </c>
      <c r="P43">
        <v>4.4556368562107647</v>
      </c>
      <c r="Q43" t="s">
        <v>505</v>
      </c>
      <c r="S43" s="13" t="s">
        <v>48</v>
      </c>
      <c r="T43">
        <v>3.135697048449972</v>
      </c>
      <c r="U43">
        <v>3.5464611697249282</v>
      </c>
      <c r="V43" t="s">
        <v>299</v>
      </c>
      <c r="X43">
        <f t="shared" si="2"/>
        <v>2.618663416666307</v>
      </c>
      <c r="Y43">
        <f t="shared" si="3"/>
        <v>0.83511365294703976</v>
      </c>
    </row>
    <row r="44" spans="1:25" x14ac:dyDescent="0.25">
      <c r="A44" s="13" t="s">
        <v>49</v>
      </c>
      <c r="B44">
        <v>12.88768936096117</v>
      </c>
      <c r="C44">
        <v>11.571567621850861</v>
      </c>
      <c r="D44" t="s">
        <v>455</v>
      </c>
      <c r="F44" s="13" t="s">
        <v>49</v>
      </c>
      <c r="G44">
        <v>3.165006960059964</v>
      </c>
      <c r="H44">
        <v>3.1729393043249221</v>
      </c>
      <c r="I44" t="s">
        <v>192</v>
      </c>
      <c r="K44">
        <f t="shared" si="0"/>
        <v>9.7226824009012063</v>
      </c>
      <c r="L44">
        <f t="shared" si="1"/>
        <v>3.071930812031137</v>
      </c>
      <c r="N44" s="13" t="s">
        <v>49</v>
      </c>
      <c r="O44">
        <v>11.983720930232559</v>
      </c>
      <c r="P44">
        <v>11.39311924561648</v>
      </c>
      <c r="Q44" t="s">
        <v>506</v>
      </c>
      <c r="S44" s="13" t="s">
        <v>49</v>
      </c>
      <c r="T44">
        <v>4.1188045294226843</v>
      </c>
      <c r="U44">
        <v>5.3109399717057197</v>
      </c>
      <c r="V44" t="s">
        <v>300</v>
      </c>
      <c r="X44">
        <f t="shared" si="2"/>
        <v>7.8649164008098751</v>
      </c>
      <c r="Y44">
        <f t="shared" si="3"/>
        <v>1.909514361418911</v>
      </c>
    </row>
    <row r="45" spans="1:25" x14ac:dyDescent="0.25">
      <c r="A45" s="13" t="s">
        <v>50</v>
      </c>
      <c r="B45">
        <v>7.0402228800278603</v>
      </c>
      <c r="C45">
        <v>8.0311968841278869</v>
      </c>
      <c r="D45" t="s">
        <v>456</v>
      </c>
      <c r="F45" s="13" t="s">
        <v>50</v>
      </c>
      <c r="G45">
        <v>1.5684762822572009</v>
      </c>
      <c r="H45">
        <v>2.0633820418376021</v>
      </c>
      <c r="I45" t="s">
        <v>193</v>
      </c>
      <c r="K45">
        <f t="shared" si="0"/>
        <v>5.4717465977706592</v>
      </c>
      <c r="L45">
        <f t="shared" si="1"/>
        <v>3.4885746502307611</v>
      </c>
      <c r="N45" s="13" t="s">
        <v>50</v>
      </c>
      <c r="O45">
        <v>6.5398255813953492</v>
      </c>
      <c r="P45">
        <v>8.209465949165013</v>
      </c>
      <c r="Q45" t="s">
        <v>507</v>
      </c>
      <c r="S45" s="13" t="s">
        <v>50</v>
      </c>
      <c r="T45">
        <v>2.161685539261184</v>
      </c>
      <c r="U45">
        <v>3.4431398478355981</v>
      </c>
      <c r="V45" t="s">
        <v>301</v>
      </c>
      <c r="X45">
        <f t="shared" si="2"/>
        <v>4.3781400421341647</v>
      </c>
      <c r="Y45">
        <f t="shared" si="3"/>
        <v>2.0253362307408116</v>
      </c>
    </row>
    <row r="46" spans="1:25" x14ac:dyDescent="0.25">
      <c r="A46" s="13" t="s">
        <v>136</v>
      </c>
      <c r="B46">
        <v>5.7619710952463867</v>
      </c>
      <c r="C46">
        <v>5.6386858276221217</v>
      </c>
      <c r="D46" t="s">
        <v>457</v>
      </c>
      <c r="F46" s="13" t="s">
        <v>136</v>
      </c>
      <c r="G46">
        <v>1.0849127315558409</v>
      </c>
      <c r="H46">
        <v>1.489294423559933</v>
      </c>
      <c r="I46" t="s">
        <v>194</v>
      </c>
      <c r="K46">
        <f t="shared" si="0"/>
        <v>4.6770583636905458</v>
      </c>
      <c r="L46">
        <f t="shared" si="1"/>
        <v>4.3109996109855917</v>
      </c>
      <c r="N46" s="13" t="s">
        <v>136</v>
      </c>
      <c r="O46">
        <v>4.8395348837209307</v>
      </c>
      <c r="P46">
        <v>5.056971822879067</v>
      </c>
      <c r="Q46" t="s">
        <v>508</v>
      </c>
      <c r="S46" s="13" t="s">
        <v>136</v>
      </c>
      <c r="T46">
        <v>1.2873584555411171</v>
      </c>
      <c r="U46">
        <v>2.1592368922160241</v>
      </c>
      <c r="V46" t="s">
        <v>302</v>
      </c>
      <c r="X46">
        <f t="shared" si="2"/>
        <v>3.5521764281798136</v>
      </c>
      <c r="Y46">
        <f t="shared" si="3"/>
        <v>2.7592753307288627</v>
      </c>
    </row>
    <row r="47" spans="1:25" x14ac:dyDescent="0.25">
      <c r="A47" s="13" t="s">
        <v>52</v>
      </c>
      <c r="B47">
        <v>0.97422949677868709</v>
      </c>
      <c r="C47">
        <v>2.020453837748041</v>
      </c>
      <c r="D47" t="s">
        <v>458</v>
      </c>
      <c r="F47" s="13" t="s">
        <v>52</v>
      </c>
      <c r="G47">
        <v>0.3380447585394582</v>
      </c>
      <c r="H47">
        <v>0.74190084666119926</v>
      </c>
      <c r="I47" t="s">
        <v>195</v>
      </c>
      <c r="K47">
        <f t="shared" si="0"/>
        <v>0.63618473823922894</v>
      </c>
      <c r="L47">
        <f t="shared" si="1"/>
        <v>1.8819541559759769</v>
      </c>
      <c r="N47" s="13" t="s">
        <v>52</v>
      </c>
      <c r="O47">
        <v>1.172093023255814</v>
      </c>
      <c r="P47">
        <v>2.262641520492505</v>
      </c>
      <c r="Q47" t="s">
        <v>509</v>
      </c>
      <c r="S47" s="13" t="s">
        <v>52</v>
      </c>
      <c r="T47">
        <v>0.5344347503248561</v>
      </c>
      <c r="U47">
        <v>1.369822382433588</v>
      </c>
      <c r="V47" t="s">
        <v>303</v>
      </c>
      <c r="X47">
        <f t="shared" si="2"/>
        <v>0.63765827293095789</v>
      </c>
      <c r="Y47">
        <f t="shared" si="3"/>
        <v>1.193145229690542</v>
      </c>
    </row>
    <row r="48" spans="1:25" x14ac:dyDescent="0.25">
      <c r="A48" s="13" t="s">
        <v>53</v>
      </c>
      <c r="B48">
        <v>0.34842416855302111</v>
      </c>
      <c r="C48">
        <v>0.99980869284023199</v>
      </c>
      <c r="D48" t="s">
        <v>459</v>
      </c>
      <c r="F48" s="13" t="s">
        <v>53</v>
      </c>
      <c r="G48">
        <v>0.13620301959524581</v>
      </c>
      <c r="H48">
        <v>0.51041306718314028</v>
      </c>
      <c r="I48" t="s">
        <v>196</v>
      </c>
      <c r="K48">
        <f t="shared" si="0"/>
        <v>0.2122211489577753</v>
      </c>
      <c r="L48">
        <f t="shared" si="1"/>
        <v>1.5581236714753637</v>
      </c>
      <c r="N48" s="13" t="s">
        <v>53</v>
      </c>
      <c r="O48">
        <v>0.48313953488372091</v>
      </c>
      <c r="P48">
        <v>1.2922726579833921</v>
      </c>
      <c r="Q48" t="s">
        <v>510</v>
      </c>
      <c r="S48" s="13" t="s">
        <v>53</v>
      </c>
      <c r="T48">
        <v>0.2299981436792278</v>
      </c>
      <c r="U48">
        <v>0.77488811884608366</v>
      </c>
      <c r="V48" t="s">
        <v>304</v>
      </c>
      <c r="X48">
        <f t="shared" si="2"/>
        <v>0.25314139120449308</v>
      </c>
      <c r="Y48">
        <f t="shared" si="3"/>
        <v>1.1006236274565004</v>
      </c>
    </row>
    <row r="49" spans="1:25" x14ac:dyDescent="0.25">
      <c r="A49" s="13" t="s">
        <v>54</v>
      </c>
      <c r="B49">
        <v>1.189448023681003</v>
      </c>
      <c r="C49">
        <v>2.4192957828013579</v>
      </c>
      <c r="D49" t="s">
        <v>460</v>
      </c>
      <c r="F49" s="13" t="s">
        <v>54</v>
      </c>
      <c r="G49">
        <v>0.37348752543098829</v>
      </c>
      <c r="H49">
        <v>0.99211258200862207</v>
      </c>
      <c r="I49" t="s">
        <v>197</v>
      </c>
      <c r="K49">
        <f t="shared" si="0"/>
        <v>0.81596049825001471</v>
      </c>
      <c r="L49">
        <f t="shared" si="1"/>
        <v>2.1847061620289243</v>
      </c>
      <c r="N49" s="13" t="s">
        <v>54</v>
      </c>
      <c r="O49">
        <v>1.5828488372093019</v>
      </c>
      <c r="P49">
        <v>3.2763743215319039</v>
      </c>
      <c r="Q49" t="s">
        <v>511</v>
      </c>
      <c r="S49" s="13" t="s">
        <v>54</v>
      </c>
      <c r="T49">
        <v>0.59996287358455536</v>
      </c>
      <c r="U49">
        <v>1.4879713267563071</v>
      </c>
      <c r="V49" t="s">
        <v>305</v>
      </c>
      <c r="X49">
        <f t="shared" si="2"/>
        <v>0.98288596362474656</v>
      </c>
      <c r="Y49">
        <f t="shared" si="3"/>
        <v>1.6382446429599351</v>
      </c>
    </row>
    <row r="50" spans="1:25" x14ac:dyDescent="0.25">
      <c r="A50" s="13" t="s">
        <v>141</v>
      </c>
      <c r="B50">
        <v>0.64112833014104131</v>
      </c>
      <c r="C50">
        <v>2.131327651095777</v>
      </c>
      <c r="D50" t="s">
        <v>461</v>
      </c>
      <c r="F50" s="13" t="s">
        <v>141</v>
      </c>
      <c r="G50">
        <v>0.22122282899668061</v>
      </c>
      <c r="H50">
        <v>0.76626740450021236</v>
      </c>
      <c r="I50" t="s">
        <v>198</v>
      </c>
      <c r="K50">
        <f t="shared" si="0"/>
        <v>0.4199055011443607</v>
      </c>
      <c r="L50">
        <f t="shared" si="1"/>
        <v>1.8981110722106409</v>
      </c>
      <c r="N50" s="13" t="s">
        <v>141</v>
      </c>
      <c r="O50">
        <v>0.29593023255813949</v>
      </c>
      <c r="P50">
        <v>1.068290890601741</v>
      </c>
      <c r="Q50" t="s">
        <v>512</v>
      </c>
      <c r="S50" s="13" t="s">
        <v>141</v>
      </c>
      <c r="T50">
        <v>0.17059587896788561</v>
      </c>
      <c r="U50">
        <v>0.60512454292067208</v>
      </c>
      <c r="V50" t="s">
        <v>306</v>
      </c>
      <c r="X50">
        <f t="shared" si="2"/>
        <v>0.12533435359025388</v>
      </c>
      <c r="Y50">
        <f t="shared" si="3"/>
        <v>0.73468570488650475</v>
      </c>
    </row>
    <row r="51" spans="1:25" x14ac:dyDescent="0.25">
      <c r="A51" s="13" t="s">
        <v>56</v>
      </c>
      <c r="B51">
        <v>0.28330141041267631</v>
      </c>
      <c r="C51">
        <v>0.93855723902130361</v>
      </c>
      <c r="D51" t="s">
        <v>462</v>
      </c>
      <c r="F51" s="13" t="s">
        <v>56</v>
      </c>
      <c r="G51">
        <v>0.17978370275190059</v>
      </c>
      <c r="H51">
        <v>0.57460567490409786</v>
      </c>
      <c r="I51" t="s">
        <v>199</v>
      </c>
      <c r="K51">
        <f t="shared" si="0"/>
        <v>0.10351770766077573</v>
      </c>
      <c r="L51">
        <f t="shared" si="1"/>
        <v>0.57579027507086644</v>
      </c>
      <c r="N51" s="13" t="s">
        <v>56</v>
      </c>
      <c r="O51">
        <v>0.20145348837209301</v>
      </c>
      <c r="P51">
        <v>0.78020596824243194</v>
      </c>
      <c r="Q51" t="s">
        <v>513</v>
      </c>
      <c r="S51" s="13" t="s">
        <v>56</v>
      </c>
      <c r="T51">
        <v>0.116391312418786</v>
      </c>
      <c r="U51">
        <v>0.51020456479885912</v>
      </c>
      <c r="V51" t="s">
        <v>216</v>
      </c>
      <c r="X51">
        <f t="shared" si="2"/>
        <v>8.5062175953307007E-2</v>
      </c>
      <c r="Y51">
        <f t="shared" si="3"/>
        <v>0.73082925336597238</v>
      </c>
    </row>
    <row r="52" spans="1:25" x14ac:dyDescent="0.25">
      <c r="A52" s="13" t="s">
        <v>144</v>
      </c>
      <c r="B52">
        <v>2.2462127807765981E-2</v>
      </c>
      <c r="C52">
        <v>0.28121941314008608</v>
      </c>
      <c r="D52" t="s">
        <v>463</v>
      </c>
      <c r="F52" s="13" t="s">
        <v>144</v>
      </c>
      <c r="G52">
        <v>3.2337509369311492E-2</v>
      </c>
      <c r="H52">
        <v>0.31663964236222569</v>
      </c>
      <c r="I52" t="s">
        <v>200</v>
      </c>
      <c r="K52">
        <f t="shared" si="0"/>
        <v>-9.8753815615455105E-3</v>
      </c>
      <c r="L52">
        <f t="shared" si="1"/>
        <v>-0.30538472981216397</v>
      </c>
      <c r="N52" s="13" t="s">
        <v>144</v>
      </c>
      <c r="O52">
        <v>1.802325581395349E-2</v>
      </c>
      <c r="P52">
        <v>0.19804405457974861</v>
      </c>
      <c r="Q52" t="s">
        <v>254</v>
      </c>
      <c r="S52" s="13" t="s">
        <v>144</v>
      </c>
      <c r="T52">
        <v>2.6731019120103949E-2</v>
      </c>
      <c r="U52">
        <v>0.2030910107369743</v>
      </c>
      <c r="V52" t="s">
        <v>307</v>
      </c>
      <c r="X52">
        <f t="shared" si="2"/>
        <v>-8.7077633061504595E-3</v>
      </c>
      <c r="Y52">
        <f t="shared" si="3"/>
        <v>-0.32575500645994815</v>
      </c>
    </row>
    <row r="53" spans="1:25" x14ac:dyDescent="0.25">
      <c r="A53" s="13" t="s">
        <v>58</v>
      </c>
      <c r="B53">
        <v>4.803586975448372</v>
      </c>
      <c r="C53">
        <v>4.5087948830216567</v>
      </c>
      <c r="D53" t="s">
        <v>464</v>
      </c>
      <c r="F53" s="13" t="s">
        <v>58</v>
      </c>
      <c r="G53">
        <v>1.594389120890888</v>
      </c>
      <c r="H53">
        <v>1.8964279187263311</v>
      </c>
      <c r="I53" t="s">
        <v>201</v>
      </c>
      <c r="K53">
        <f t="shared" si="0"/>
        <v>3.209197854557484</v>
      </c>
      <c r="L53">
        <f t="shared" si="1"/>
        <v>2.0128071701620103</v>
      </c>
      <c r="N53" s="13" t="s">
        <v>58</v>
      </c>
      <c r="O53">
        <v>3.5029069767441858</v>
      </c>
      <c r="P53">
        <v>3.1721000833379418</v>
      </c>
      <c r="Q53" t="s">
        <v>514</v>
      </c>
      <c r="S53" s="13" t="s">
        <v>58</v>
      </c>
      <c r="T53">
        <v>1.522739929459811</v>
      </c>
      <c r="U53">
        <v>2.0681825832523222</v>
      </c>
      <c r="V53" t="s">
        <v>308</v>
      </c>
      <c r="X53">
        <f t="shared" si="2"/>
        <v>1.9801670472843749</v>
      </c>
      <c r="Y53">
        <f t="shared" si="3"/>
        <v>1.300397401404477</v>
      </c>
    </row>
    <row r="54" spans="1:25" x14ac:dyDescent="0.25">
      <c r="A54" s="13" t="s">
        <v>59</v>
      </c>
      <c r="B54">
        <v>24.726449590806201</v>
      </c>
      <c r="C54">
        <v>18.00293743354144</v>
      </c>
      <c r="D54" t="s">
        <v>465</v>
      </c>
      <c r="F54" s="13" t="s">
        <v>59</v>
      </c>
      <c r="G54">
        <v>12.41835314273477</v>
      </c>
      <c r="H54">
        <v>11.06068123296482</v>
      </c>
      <c r="I54" t="s">
        <v>202</v>
      </c>
      <c r="K54">
        <f t="shared" si="0"/>
        <v>12.308096448071431</v>
      </c>
      <c r="L54">
        <f t="shared" si="1"/>
        <v>0.99112147211501689</v>
      </c>
      <c r="N54" s="13" t="s">
        <v>59</v>
      </c>
      <c r="O54">
        <v>24.66308139534884</v>
      </c>
      <c r="P54">
        <v>23.263303849645549</v>
      </c>
      <c r="Q54" t="s">
        <v>515</v>
      </c>
      <c r="S54" s="13" t="s">
        <v>59</v>
      </c>
      <c r="T54">
        <v>15.070911453499161</v>
      </c>
      <c r="U54">
        <v>13.112604038425831</v>
      </c>
      <c r="V54" t="s">
        <v>309</v>
      </c>
      <c r="X54">
        <f t="shared" si="2"/>
        <v>9.5921699418496793</v>
      </c>
      <c r="Y54">
        <f t="shared" si="3"/>
        <v>0.63646913270282479</v>
      </c>
    </row>
    <row r="55" spans="1:25" x14ac:dyDescent="0.25">
      <c r="A55" s="13" t="s">
        <v>148</v>
      </c>
      <c r="B55">
        <v>1.0447501305937659E-3</v>
      </c>
      <c r="C55">
        <v>5.5979501117088229E-2</v>
      </c>
      <c r="D55" t="s">
        <v>466</v>
      </c>
      <c r="F55" s="13" t="s">
        <v>148</v>
      </c>
      <c r="G55">
        <v>2.54845272513117E-2</v>
      </c>
      <c r="H55">
        <v>0.25557285812892078</v>
      </c>
      <c r="I55" t="s">
        <v>203</v>
      </c>
      <c r="K55">
        <f t="shared" si="0"/>
        <v>-2.4439777120717935E-2</v>
      </c>
      <c r="L55">
        <f t="shared" si="1"/>
        <v>-0.95900453164027233</v>
      </c>
      <c r="N55" s="13" t="s">
        <v>148</v>
      </c>
      <c r="O55">
        <v>3.4883720930232558E-2</v>
      </c>
      <c r="P55">
        <v>0.23369414918125461</v>
      </c>
      <c r="Q55" t="s">
        <v>516</v>
      </c>
      <c r="S55" s="13" t="s">
        <v>148</v>
      </c>
      <c r="T55">
        <v>7.2767774271394095E-2</v>
      </c>
      <c r="U55">
        <v>0.34240879983187461</v>
      </c>
      <c r="V55" t="s">
        <v>310</v>
      </c>
      <c r="X55">
        <f t="shared" si="2"/>
        <v>-3.7884053341161537E-2</v>
      </c>
      <c r="Y55">
        <f t="shared" si="3"/>
        <v>-0.52061580446131939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5"/>
  <sheetViews>
    <sheetView zoomScale="85" zoomScaleNormal="85" workbookViewId="0">
      <selection activeCell="O34" sqref="O34"/>
    </sheetView>
  </sheetViews>
  <sheetFormatPr defaultColWidth="9" defaultRowHeight="13.8" x14ac:dyDescent="0.25"/>
  <cols>
    <col min="2" max="2" width="16.33203125" style="1" customWidth="1"/>
    <col min="4" max="4" width="15.21875" style="1" customWidth="1"/>
    <col min="6" max="6" width="12.33203125" style="1" customWidth="1"/>
    <col min="8" max="8" width="9" style="1"/>
    <col min="10" max="10" width="9" style="1"/>
    <col min="12" max="12" width="9" style="1"/>
  </cols>
  <sheetData>
    <row r="1" spans="1:13" ht="13.8" customHeight="1" x14ac:dyDescent="0.25">
      <c r="A1" s="2"/>
      <c r="B1" s="12" t="s">
        <v>0</v>
      </c>
      <c r="C1" s="12"/>
      <c r="D1" s="12"/>
      <c r="E1" s="12"/>
      <c r="F1" s="12" t="s">
        <v>1</v>
      </c>
      <c r="G1" s="12"/>
      <c r="H1" s="12"/>
      <c r="I1" s="12"/>
      <c r="J1" s="12" t="s">
        <v>2</v>
      </c>
      <c r="K1" s="12"/>
      <c r="L1" s="12"/>
      <c r="M1" s="12"/>
    </row>
    <row r="2" spans="1:13" x14ac:dyDescent="0.25">
      <c r="A2" s="2" t="s">
        <v>3</v>
      </c>
      <c r="B2" s="3" t="s">
        <v>4</v>
      </c>
      <c r="C2" s="4" t="s">
        <v>5</v>
      </c>
      <c r="D2" s="3" t="s">
        <v>6</v>
      </c>
      <c r="E2" s="4" t="s">
        <v>5</v>
      </c>
      <c r="F2" s="3" t="s">
        <v>4</v>
      </c>
      <c r="G2" s="4" t="s">
        <v>5</v>
      </c>
      <c r="H2" s="3" t="s">
        <v>6</v>
      </c>
      <c r="I2" s="4" t="s">
        <v>5</v>
      </c>
      <c r="J2" s="3" t="s">
        <v>4</v>
      </c>
      <c r="K2" s="4" t="s">
        <v>5</v>
      </c>
      <c r="L2" s="3" t="s">
        <v>6</v>
      </c>
      <c r="M2" s="4" t="s">
        <v>5</v>
      </c>
    </row>
    <row r="3" spans="1:13" ht="14.4" x14ac:dyDescent="0.25">
      <c r="A3" s="2" t="s">
        <v>7</v>
      </c>
      <c r="B3" s="5">
        <v>2.5880770566425024</v>
      </c>
      <c r="C3" s="6" t="s">
        <v>8</v>
      </c>
      <c r="D3" s="5">
        <v>1.9677016385794344</v>
      </c>
      <c r="E3" s="6" t="s">
        <v>8</v>
      </c>
      <c r="F3" s="5">
        <v>0.80543569505425494</v>
      </c>
      <c r="G3" s="6" t="s">
        <v>8</v>
      </c>
      <c r="H3" s="5">
        <v>0.56804037519274708</v>
      </c>
      <c r="I3" s="6" t="s">
        <v>8</v>
      </c>
      <c r="J3" s="5">
        <v>1.8203064903079218</v>
      </c>
      <c r="K3" s="6" t="s">
        <v>8</v>
      </c>
      <c r="L3" s="5">
        <v>1.1183864681829798</v>
      </c>
      <c r="M3" s="6" t="s">
        <v>8</v>
      </c>
    </row>
    <row r="4" spans="1:13" ht="14.4" x14ac:dyDescent="0.25">
      <c r="A4" s="7" t="s">
        <v>9</v>
      </c>
      <c r="B4" s="5">
        <v>2.3619260608371828</v>
      </c>
      <c r="C4" s="6" t="s">
        <v>8</v>
      </c>
      <c r="D4" s="5">
        <v>1.5754781602247117</v>
      </c>
      <c r="E4" s="6" t="s">
        <v>8</v>
      </c>
      <c r="F4" s="5">
        <v>0.71923424621475751</v>
      </c>
      <c r="G4" s="6" t="s">
        <v>8</v>
      </c>
      <c r="H4" s="5">
        <v>0.39600092653745683</v>
      </c>
      <c r="I4" s="6" t="s">
        <v>8</v>
      </c>
      <c r="J4" s="5">
        <v>1.6451404185026544</v>
      </c>
      <c r="K4" s="6" t="s">
        <v>8</v>
      </c>
      <c r="L4" s="5">
        <v>0.7741662372834488</v>
      </c>
      <c r="M4" s="6" t="s">
        <v>8</v>
      </c>
    </row>
    <row r="5" spans="1:13" ht="14.4" x14ac:dyDescent="0.25">
      <c r="A5" s="7" t="s">
        <v>10</v>
      </c>
      <c r="B5" s="5">
        <v>2.7673820701794316</v>
      </c>
      <c r="C5" s="6" t="s">
        <v>8</v>
      </c>
      <c r="D5" s="5">
        <v>2.2674439570246796</v>
      </c>
      <c r="E5" s="6" t="s">
        <v>8</v>
      </c>
      <c r="F5" s="5">
        <v>0.74023176467738272</v>
      </c>
      <c r="G5" s="6" t="s">
        <v>8</v>
      </c>
      <c r="H5" s="5">
        <v>0.64960620220601228</v>
      </c>
      <c r="I5" s="6" t="s">
        <v>8</v>
      </c>
      <c r="J5" s="5">
        <v>1.8883985377819783</v>
      </c>
      <c r="K5" s="6" t="s">
        <v>8</v>
      </c>
      <c r="L5" s="5">
        <v>1.3227667527993108</v>
      </c>
      <c r="M5" s="6" t="s">
        <v>8</v>
      </c>
    </row>
    <row r="6" spans="1:13" ht="14.4" x14ac:dyDescent="0.25">
      <c r="A6" s="7" t="s">
        <v>11</v>
      </c>
      <c r="B6" s="5">
        <v>4.0405546518669323E-2</v>
      </c>
      <c r="C6" s="6" t="s">
        <v>8</v>
      </c>
      <c r="D6" s="5">
        <v>5.1483561355092328E-2</v>
      </c>
      <c r="E6" s="6" t="s">
        <v>8</v>
      </c>
      <c r="F6" s="5">
        <v>-3.3070632392988512E-2</v>
      </c>
      <c r="G6" s="6" t="s">
        <v>8</v>
      </c>
      <c r="H6" s="5">
        <v>-3.7429898439151336E-2</v>
      </c>
      <c r="I6" s="6" t="s">
        <v>8</v>
      </c>
      <c r="J6" s="5">
        <v>0.3813741409454664</v>
      </c>
      <c r="K6" s="6" t="s">
        <v>8</v>
      </c>
      <c r="L6" s="5">
        <v>0.23254905419066071</v>
      </c>
      <c r="M6" s="6" t="s">
        <v>8</v>
      </c>
    </row>
    <row r="7" spans="1:13" ht="14.4" x14ac:dyDescent="0.25">
      <c r="A7" s="7" t="s">
        <v>12</v>
      </c>
      <c r="B7" s="5">
        <v>2.6943487058057047</v>
      </c>
      <c r="C7" s="6" t="s">
        <v>8</v>
      </c>
      <c r="D7" s="5">
        <v>2.1050842100470057</v>
      </c>
      <c r="E7" s="6" t="s">
        <v>8</v>
      </c>
      <c r="F7" s="5">
        <v>0.89453646302392675</v>
      </c>
      <c r="G7" s="6" t="s">
        <v>8</v>
      </c>
      <c r="H7" s="5">
        <v>0.64418019848034702</v>
      </c>
      <c r="I7" s="6" t="s">
        <v>8</v>
      </c>
      <c r="J7" s="5">
        <v>1.9062382938466893</v>
      </c>
      <c r="K7" s="6" t="s">
        <v>8</v>
      </c>
      <c r="L7" s="5">
        <v>1.2257834554742184</v>
      </c>
      <c r="M7" s="6" t="s">
        <v>8</v>
      </c>
    </row>
    <row r="8" spans="1:13" ht="14.4" x14ac:dyDescent="0.25">
      <c r="A8" s="8" t="s">
        <v>13</v>
      </c>
      <c r="B8" s="5">
        <v>0.79417181718812035</v>
      </c>
      <c r="C8" s="6" t="s">
        <v>8</v>
      </c>
      <c r="D8" s="5">
        <v>0.54636665956297392</v>
      </c>
      <c r="E8" s="6" t="s">
        <v>8</v>
      </c>
      <c r="F8" s="5">
        <v>0.17939454192750082</v>
      </c>
      <c r="G8" s="6" t="s">
        <v>8</v>
      </c>
      <c r="H8" s="5">
        <v>4.3757460427298493E-2</v>
      </c>
      <c r="I8" s="6" t="s">
        <v>8</v>
      </c>
      <c r="J8" s="5">
        <v>0.49999505387079213</v>
      </c>
      <c r="K8" s="6" t="s">
        <v>8</v>
      </c>
      <c r="L8" s="5">
        <v>0.23771701280935145</v>
      </c>
      <c r="M8" s="6" t="s">
        <v>8</v>
      </c>
    </row>
    <row r="9" spans="1:13" ht="14.4" x14ac:dyDescent="0.25">
      <c r="A9" s="8" t="s">
        <v>14</v>
      </c>
      <c r="B9" s="5">
        <v>3.3984313505632682</v>
      </c>
      <c r="C9" s="6" t="s">
        <v>8</v>
      </c>
      <c r="D9" s="5">
        <v>2.5072587138377869</v>
      </c>
      <c r="E9" s="6" t="s">
        <v>8</v>
      </c>
      <c r="F9" s="5">
        <v>1.1364390200606722</v>
      </c>
      <c r="G9" s="6" t="s">
        <v>8</v>
      </c>
      <c r="H9" s="5">
        <v>0.76200724968846079</v>
      </c>
      <c r="I9" s="6" t="s">
        <v>8</v>
      </c>
      <c r="J9" s="5">
        <v>2.3896369929530366</v>
      </c>
      <c r="K9" s="6" t="s">
        <v>8</v>
      </c>
      <c r="L9" s="5">
        <v>1.4810229162851738</v>
      </c>
      <c r="M9" s="6" t="s">
        <v>8</v>
      </c>
    </row>
    <row r="10" spans="1:13" ht="14.4" x14ac:dyDescent="0.25">
      <c r="A10" s="8" t="s">
        <v>15</v>
      </c>
      <c r="B10" s="5">
        <v>1.8043855627968806</v>
      </c>
      <c r="C10" s="6" t="s">
        <v>8</v>
      </c>
      <c r="D10" s="5">
        <v>1.3061682328598825</v>
      </c>
      <c r="E10" s="6" t="s">
        <v>8</v>
      </c>
      <c r="F10" s="5">
        <v>0.64681998380226424</v>
      </c>
      <c r="G10" s="6" t="s">
        <v>8</v>
      </c>
      <c r="H10" s="5">
        <v>0.4300260134312836</v>
      </c>
      <c r="I10" s="6" t="s">
        <v>8</v>
      </c>
      <c r="J10" s="5">
        <v>1.4959451358204341</v>
      </c>
      <c r="K10" s="6" t="s">
        <v>8</v>
      </c>
      <c r="L10" s="5">
        <v>0.90968640143320711</v>
      </c>
      <c r="M10" s="6" t="s">
        <v>8</v>
      </c>
    </row>
    <row r="11" spans="1:13" ht="14.4" x14ac:dyDescent="0.25">
      <c r="A11" s="8" t="s">
        <v>16</v>
      </c>
      <c r="B11" s="5">
        <v>3.1071330930001779</v>
      </c>
      <c r="C11" s="6" t="s">
        <v>8</v>
      </c>
      <c r="D11" s="5">
        <v>2.65371865879428</v>
      </c>
      <c r="E11" s="6" t="s">
        <v>8</v>
      </c>
      <c r="F11" s="5">
        <v>1.0289123859115326</v>
      </c>
      <c r="G11" s="6" t="s">
        <v>8</v>
      </c>
      <c r="H11" s="5">
        <v>0.82595867781607823</v>
      </c>
      <c r="I11" s="6" t="s">
        <v>8</v>
      </c>
      <c r="J11" s="5">
        <v>2.1301082585521844</v>
      </c>
      <c r="K11" s="6" t="s">
        <v>8</v>
      </c>
      <c r="L11" s="5">
        <v>1.4642524952643701</v>
      </c>
      <c r="M11" s="6" t="s">
        <v>8</v>
      </c>
    </row>
    <row r="12" spans="1:13" ht="14.4" x14ac:dyDescent="0.25">
      <c r="A12" s="2" t="s">
        <v>17</v>
      </c>
      <c r="B12" s="5">
        <v>2.3911998154951384</v>
      </c>
      <c r="C12" s="6" t="s">
        <v>8</v>
      </c>
      <c r="D12" s="5">
        <v>1.7258089587365564</v>
      </c>
      <c r="E12" s="6" t="s">
        <v>8</v>
      </c>
      <c r="F12" s="5">
        <v>0.7792246254419507</v>
      </c>
      <c r="G12" s="6" t="s">
        <v>8</v>
      </c>
      <c r="H12" s="5">
        <v>0.55466108034431727</v>
      </c>
      <c r="I12" s="6" t="s">
        <v>8</v>
      </c>
      <c r="J12" s="5">
        <v>1.7570366193461069</v>
      </c>
      <c r="K12" s="6" t="s">
        <v>8</v>
      </c>
      <c r="L12" s="5">
        <v>1.0627365260448696</v>
      </c>
      <c r="M12" s="6" t="s">
        <v>8</v>
      </c>
    </row>
    <row r="13" spans="1:13" ht="14.4" x14ac:dyDescent="0.25">
      <c r="A13" s="7" t="s">
        <v>18</v>
      </c>
      <c r="B13" s="5">
        <v>1.4346000442185971</v>
      </c>
      <c r="C13" s="6" t="s">
        <v>8</v>
      </c>
      <c r="D13" s="5">
        <v>1.0229377623574543</v>
      </c>
      <c r="E13" s="6" t="s">
        <v>8</v>
      </c>
      <c r="F13" s="5">
        <v>0.46946011483903499</v>
      </c>
      <c r="G13" s="6" t="s">
        <v>8</v>
      </c>
      <c r="H13" s="5">
        <v>0.34297545383114042</v>
      </c>
      <c r="I13" s="6" t="s">
        <v>8</v>
      </c>
      <c r="J13" s="5">
        <v>0.39963155174795001</v>
      </c>
      <c r="K13" s="6" t="s">
        <v>8</v>
      </c>
      <c r="L13" s="5">
        <v>0.39671847393596354</v>
      </c>
      <c r="M13" s="6" t="s">
        <v>8</v>
      </c>
    </row>
    <row r="14" spans="1:13" ht="14.4" x14ac:dyDescent="0.25">
      <c r="A14" s="7" t="s">
        <v>19</v>
      </c>
      <c r="B14" s="5">
        <v>0.7727184006922011</v>
      </c>
      <c r="C14" s="6" t="s">
        <v>8</v>
      </c>
      <c r="D14" s="5">
        <v>1.0707709417551858</v>
      </c>
      <c r="E14" s="6">
        <v>1E-3</v>
      </c>
      <c r="F14" s="5">
        <v>0.14288638357321556</v>
      </c>
      <c r="G14" s="6" t="s">
        <v>8</v>
      </c>
      <c r="H14" s="5">
        <v>0.36261962965673711</v>
      </c>
      <c r="I14" s="6" t="s">
        <v>8</v>
      </c>
      <c r="J14" s="5">
        <v>0.16670066250424956</v>
      </c>
      <c r="K14" s="6" t="s">
        <v>8</v>
      </c>
      <c r="L14" s="5">
        <v>0.45034615384615373</v>
      </c>
      <c r="M14" s="6" t="s">
        <v>8</v>
      </c>
    </row>
    <row r="15" spans="1:13" ht="14.4" x14ac:dyDescent="0.25">
      <c r="A15" s="7" t="s">
        <v>20</v>
      </c>
      <c r="B15" s="5">
        <v>1.6350759769983649</v>
      </c>
      <c r="C15" s="6" t="s">
        <v>8</v>
      </c>
      <c r="D15" s="5">
        <v>1.3962149845133649</v>
      </c>
      <c r="E15" s="6" t="s">
        <v>8</v>
      </c>
      <c r="F15" s="5">
        <v>0.49401227962234695</v>
      </c>
      <c r="G15" s="6" t="s">
        <v>8</v>
      </c>
      <c r="H15" s="5">
        <v>0.4028920954319507</v>
      </c>
      <c r="I15" s="6" t="s">
        <v>8</v>
      </c>
      <c r="J15" s="5">
        <v>0.72547579709360233</v>
      </c>
      <c r="K15" s="6" t="s">
        <v>8</v>
      </c>
      <c r="L15" s="5">
        <v>0.5798215649608891</v>
      </c>
      <c r="M15" s="6" t="s">
        <v>8</v>
      </c>
    </row>
    <row r="16" spans="1:13" ht="14.4" x14ac:dyDescent="0.25">
      <c r="A16" s="2" t="s">
        <v>21</v>
      </c>
      <c r="B16" s="5">
        <v>3.579697819075454</v>
      </c>
      <c r="C16" s="6" t="s">
        <v>8</v>
      </c>
      <c r="D16" s="5">
        <v>2.9808024198753502</v>
      </c>
      <c r="E16" s="6" t="s">
        <v>8</v>
      </c>
      <c r="F16" s="5">
        <v>1.2867520951045468</v>
      </c>
      <c r="G16" s="6" t="s">
        <v>8</v>
      </c>
      <c r="H16" s="5">
        <v>1.018102757954928</v>
      </c>
      <c r="I16" s="6" t="s">
        <v>8</v>
      </c>
      <c r="J16" s="5">
        <v>2.7203124772677505</v>
      </c>
      <c r="K16" s="6" t="s">
        <v>8</v>
      </c>
      <c r="L16" s="5">
        <v>1.8604172809114925</v>
      </c>
      <c r="M16" s="6" t="s">
        <v>8</v>
      </c>
    </row>
    <row r="17" spans="1:13" ht="14.4" x14ac:dyDescent="0.25">
      <c r="A17" s="7" t="s">
        <v>22</v>
      </c>
      <c r="B17" s="5">
        <v>4.0276619216030909</v>
      </c>
      <c r="C17" s="6" t="s">
        <v>8</v>
      </c>
      <c r="D17" s="5">
        <v>3.5416241714845844</v>
      </c>
      <c r="E17" s="6" t="s">
        <v>8</v>
      </c>
      <c r="F17" s="5">
        <v>1.3426555505820232</v>
      </c>
      <c r="G17" s="6" t="s">
        <v>8</v>
      </c>
      <c r="H17" s="5">
        <v>1.2493504993437849</v>
      </c>
      <c r="I17" s="6" t="s">
        <v>8</v>
      </c>
      <c r="J17" s="5">
        <v>2.5420647897895021</v>
      </c>
      <c r="K17" s="6" t="s">
        <v>8</v>
      </c>
      <c r="L17" s="5">
        <v>2.0449443858735923</v>
      </c>
      <c r="M17" s="6" t="s">
        <v>8</v>
      </c>
    </row>
    <row r="18" spans="1:13" ht="14.4" x14ac:dyDescent="0.25">
      <c r="A18" s="7" t="s">
        <v>23</v>
      </c>
      <c r="B18" s="5">
        <v>2.5074147861817826</v>
      </c>
      <c r="C18" s="6" t="s">
        <v>8</v>
      </c>
      <c r="D18" s="5">
        <v>1.8427632602307173</v>
      </c>
      <c r="E18" s="6" t="s">
        <v>8</v>
      </c>
      <c r="F18" s="5">
        <v>0.93186221061119456</v>
      </c>
      <c r="G18" s="6" t="s">
        <v>8</v>
      </c>
      <c r="H18" s="5">
        <v>0.59923705109754222</v>
      </c>
      <c r="I18" s="6" t="s">
        <v>8</v>
      </c>
      <c r="J18" s="5">
        <v>2.1812606264679641</v>
      </c>
      <c r="K18" s="6" t="s">
        <v>8</v>
      </c>
      <c r="L18" s="5">
        <v>1.2742243192707725</v>
      </c>
      <c r="M18" s="6" t="s">
        <v>8</v>
      </c>
    </row>
    <row r="19" spans="1:13" ht="14.4" x14ac:dyDescent="0.25">
      <c r="A19" s="8" t="s">
        <v>24</v>
      </c>
      <c r="B19" s="5">
        <v>3.0879975296201789</v>
      </c>
      <c r="C19" s="6" t="s">
        <v>8</v>
      </c>
      <c r="D19" s="5">
        <v>2.6008540782090779</v>
      </c>
      <c r="E19" s="6" t="s">
        <v>8</v>
      </c>
      <c r="F19" s="5">
        <v>1.110722095734604</v>
      </c>
      <c r="G19" s="6" t="s">
        <v>8</v>
      </c>
      <c r="H19" s="5">
        <v>0.81342744820362956</v>
      </c>
      <c r="I19" s="6" t="s">
        <v>8</v>
      </c>
      <c r="J19" s="5">
        <v>2.3142558642819826</v>
      </c>
      <c r="K19" s="6" t="s">
        <v>8</v>
      </c>
      <c r="L19" s="5">
        <v>1.8284906255633664</v>
      </c>
      <c r="M19" s="6" t="s">
        <v>8</v>
      </c>
    </row>
    <row r="20" spans="1:13" ht="14.4" x14ac:dyDescent="0.25">
      <c r="A20" s="8" t="s">
        <v>25</v>
      </c>
      <c r="B20" s="5">
        <v>2.5339302840578148</v>
      </c>
      <c r="C20" s="6" t="s">
        <v>8</v>
      </c>
      <c r="D20" s="5">
        <v>1.6675034666118393</v>
      </c>
      <c r="E20" s="6" t="s">
        <v>8</v>
      </c>
      <c r="F20" s="5">
        <v>0.95705017585872365</v>
      </c>
      <c r="G20" s="6" t="s">
        <v>8</v>
      </c>
      <c r="H20" s="5">
        <v>0.59279698944032166</v>
      </c>
      <c r="I20" s="6" t="s">
        <v>8</v>
      </c>
      <c r="J20" s="5">
        <v>2.6759122867226215</v>
      </c>
      <c r="K20" s="6" t="s">
        <v>8</v>
      </c>
      <c r="L20" s="5">
        <v>1.3058880432428177</v>
      </c>
      <c r="M20" s="6" t="s">
        <v>8</v>
      </c>
    </row>
    <row r="21" spans="1:13" ht="14.4" x14ac:dyDescent="0.25">
      <c r="A21" s="8" t="s">
        <v>26</v>
      </c>
      <c r="B21" s="5">
        <v>3.2025105061603374</v>
      </c>
      <c r="C21" s="6" t="s">
        <v>8</v>
      </c>
      <c r="D21" s="5">
        <v>2.3159090206981769</v>
      </c>
      <c r="E21" s="6" t="s">
        <v>8</v>
      </c>
      <c r="F21" s="5">
        <v>1.1879620395949324</v>
      </c>
      <c r="G21" s="6" t="s">
        <v>8</v>
      </c>
      <c r="H21" s="5">
        <v>0.7597875039644777</v>
      </c>
      <c r="I21" s="6" t="s">
        <v>8</v>
      </c>
      <c r="J21" s="5">
        <v>1.7471187960560004</v>
      </c>
      <c r="K21" s="6" t="s">
        <v>8</v>
      </c>
      <c r="L21" s="5">
        <v>1.2728581233850118</v>
      </c>
      <c r="M21" s="6" t="s">
        <v>8</v>
      </c>
    </row>
    <row r="22" spans="1:13" ht="14.4" x14ac:dyDescent="0.25">
      <c r="A22" s="2" t="s">
        <v>27</v>
      </c>
      <c r="B22" s="5">
        <v>3.7316743149320919</v>
      </c>
      <c r="C22" s="6" t="s">
        <v>8</v>
      </c>
      <c r="D22" s="5">
        <v>2.6477176604375838</v>
      </c>
      <c r="E22" s="6" t="s">
        <v>8</v>
      </c>
      <c r="F22" s="5">
        <v>1.2673809939175535</v>
      </c>
      <c r="G22" s="6" t="s">
        <v>8</v>
      </c>
      <c r="H22" s="5">
        <v>0.86114824508821386</v>
      </c>
      <c r="I22" s="6" t="s">
        <v>8</v>
      </c>
      <c r="J22" s="5">
        <v>2.9480203261602513</v>
      </c>
      <c r="K22" s="6" t="s">
        <v>8</v>
      </c>
      <c r="L22" s="5">
        <v>1.7670991571405237</v>
      </c>
      <c r="M22" s="6" t="s">
        <v>8</v>
      </c>
    </row>
    <row r="23" spans="1:13" ht="14.4" x14ac:dyDescent="0.25">
      <c r="A23" s="7" t="s">
        <v>28</v>
      </c>
      <c r="B23" s="5">
        <v>3.7258066136001728</v>
      </c>
      <c r="C23" s="6" t="s">
        <v>8</v>
      </c>
      <c r="D23" s="5">
        <v>2.7515282128198426</v>
      </c>
      <c r="E23" s="6" t="s">
        <v>8</v>
      </c>
      <c r="F23" s="5">
        <v>1.3519828159687501</v>
      </c>
      <c r="G23" s="6" t="s">
        <v>8</v>
      </c>
      <c r="H23" s="5">
        <v>0.94281683397487814</v>
      </c>
      <c r="I23" s="6" t="s">
        <v>8</v>
      </c>
      <c r="J23" s="5">
        <v>2.9884062614945681</v>
      </c>
      <c r="K23" s="6" t="s">
        <v>8</v>
      </c>
      <c r="L23" s="5">
        <v>1.7238647163755729</v>
      </c>
      <c r="M23" s="6" t="s">
        <v>8</v>
      </c>
    </row>
    <row r="24" spans="1:13" ht="14.4" x14ac:dyDescent="0.25">
      <c r="A24" s="7" t="s">
        <v>29</v>
      </c>
      <c r="B24" s="5">
        <v>4.6689721371108872</v>
      </c>
      <c r="C24" s="6" t="s">
        <v>8</v>
      </c>
      <c r="D24" s="5">
        <v>3.2721460011805408</v>
      </c>
      <c r="E24" s="6" t="s">
        <v>8</v>
      </c>
      <c r="F24" s="5">
        <v>1.8950796885891661</v>
      </c>
      <c r="G24" s="6" t="s">
        <v>8</v>
      </c>
      <c r="H24" s="5">
        <v>1.2441861229256599</v>
      </c>
      <c r="I24" s="6" t="s">
        <v>8</v>
      </c>
      <c r="J24" s="5">
        <v>3.8775211689671938</v>
      </c>
      <c r="K24" s="6" t="s">
        <v>8</v>
      </c>
      <c r="L24" s="5">
        <v>2.2691069543717939</v>
      </c>
      <c r="M24" s="6" t="s">
        <v>8</v>
      </c>
    </row>
    <row r="25" spans="1:13" ht="14.4" x14ac:dyDescent="0.25">
      <c r="A25" s="7" t="s">
        <v>30</v>
      </c>
      <c r="B25" s="5">
        <v>3.1081043309032617</v>
      </c>
      <c r="C25" s="6" t="s">
        <v>8</v>
      </c>
      <c r="D25" s="5">
        <v>2.1623193617240983</v>
      </c>
      <c r="E25" s="6" t="s">
        <v>8</v>
      </c>
      <c r="F25" s="5">
        <v>0.89986187413019303</v>
      </c>
      <c r="G25" s="6" t="s">
        <v>8</v>
      </c>
      <c r="H25" s="5">
        <v>0.59621915480975007</v>
      </c>
      <c r="I25" s="6" t="s">
        <v>8</v>
      </c>
      <c r="J25" s="5">
        <v>2.0806048687912053</v>
      </c>
      <c r="K25" s="6" t="s">
        <v>8</v>
      </c>
      <c r="L25" s="5">
        <v>1.2759468129418958</v>
      </c>
      <c r="M25" s="6" t="s">
        <v>8</v>
      </c>
    </row>
    <row r="26" spans="1:13" ht="14.4" x14ac:dyDescent="0.25">
      <c r="A26" s="7" t="s">
        <v>31</v>
      </c>
      <c r="B26" s="5">
        <v>3.3165682953592825</v>
      </c>
      <c r="C26" s="6" t="s">
        <v>8</v>
      </c>
      <c r="D26" s="5">
        <v>2.1329531912413864</v>
      </c>
      <c r="E26" s="6" t="s">
        <v>8</v>
      </c>
      <c r="F26" s="5">
        <v>1.0348793532247063</v>
      </c>
      <c r="G26" s="6" t="s">
        <v>8</v>
      </c>
      <c r="H26" s="5">
        <v>0.62159684391096381</v>
      </c>
      <c r="I26" s="6" t="s">
        <v>8</v>
      </c>
      <c r="J26" s="5">
        <v>2.4041814077807397</v>
      </c>
      <c r="K26" s="6" t="s">
        <v>8</v>
      </c>
      <c r="L26" s="5">
        <v>1.3707586963246254</v>
      </c>
      <c r="M26" s="6" t="s">
        <v>8</v>
      </c>
    </row>
    <row r="27" spans="1:13" ht="14.4" x14ac:dyDescent="0.25">
      <c r="A27" s="7" t="s">
        <v>32</v>
      </c>
      <c r="B27" s="5">
        <v>3.005950793749391</v>
      </c>
      <c r="C27" s="6" t="s">
        <v>8</v>
      </c>
      <c r="D27" s="5">
        <v>2.5203243774764275</v>
      </c>
      <c r="E27" s="6" t="s">
        <v>8</v>
      </c>
      <c r="F27" s="5">
        <v>0.94093857575601136</v>
      </c>
      <c r="G27" s="6" t="s">
        <v>8</v>
      </c>
      <c r="H27" s="5">
        <v>0.8207437188704152</v>
      </c>
      <c r="I27" s="6" t="s">
        <v>8</v>
      </c>
      <c r="J27" s="5">
        <v>2.3968909029684333</v>
      </c>
      <c r="K27" s="6" t="s">
        <v>8</v>
      </c>
      <c r="L27" s="5">
        <v>1.6595470176891411</v>
      </c>
      <c r="M27" s="6" t="s">
        <v>8</v>
      </c>
    </row>
    <row r="28" spans="1:13" ht="14.4" x14ac:dyDescent="0.25">
      <c r="A28" s="7" t="s">
        <v>33</v>
      </c>
      <c r="B28" s="5">
        <v>4.4087429500609536</v>
      </c>
      <c r="C28" s="6" t="s">
        <v>8</v>
      </c>
      <c r="D28" s="5">
        <v>2.9772771405720593</v>
      </c>
      <c r="E28" s="6" t="s">
        <v>8</v>
      </c>
      <c r="F28" s="5">
        <v>1.3764778179322987</v>
      </c>
      <c r="G28" s="6" t="s">
        <v>8</v>
      </c>
      <c r="H28" s="5">
        <v>0.90965074097564858</v>
      </c>
      <c r="I28" s="6" t="s">
        <v>8</v>
      </c>
      <c r="J28" s="5">
        <v>3.5421552724827876</v>
      </c>
      <c r="K28" s="6" t="s">
        <v>8</v>
      </c>
      <c r="L28" s="5">
        <v>2.120854203001346</v>
      </c>
      <c r="M28" s="6" t="s">
        <v>8</v>
      </c>
    </row>
    <row r="29" spans="1:13" ht="14.4" x14ac:dyDescent="0.25">
      <c r="A29" s="7" t="s">
        <v>34</v>
      </c>
      <c r="B29" s="5">
        <v>1.2769355016663617</v>
      </c>
      <c r="C29" s="6" t="s">
        <v>8</v>
      </c>
      <c r="D29" s="5">
        <v>1.0301986845323563</v>
      </c>
      <c r="E29" s="6" t="s">
        <v>8</v>
      </c>
      <c r="F29" s="5">
        <v>0.24036449029969983</v>
      </c>
      <c r="G29" s="6" t="s">
        <v>8</v>
      </c>
      <c r="H29" s="5">
        <v>0.15640286729289773</v>
      </c>
      <c r="I29" s="6" t="s">
        <v>8</v>
      </c>
      <c r="J29" s="5">
        <v>0.81555374517888979</v>
      </c>
      <c r="K29" s="6" t="s">
        <v>8</v>
      </c>
      <c r="L29" s="5">
        <v>0.45868396239544629</v>
      </c>
      <c r="M29" s="6" t="s">
        <v>8</v>
      </c>
    </row>
    <row r="30" spans="1:13" ht="14.4" x14ac:dyDescent="0.25">
      <c r="A30" s="7" t="s">
        <v>35</v>
      </c>
      <c r="B30" s="5">
        <v>3.5716893693479763</v>
      </c>
      <c r="C30" s="6" t="s">
        <v>8</v>
      </c>
      <c r="D30" s="5">
        <v>2.3223143157745674</v>
      </c>
      <c r="E30" s="6" t="s">
        <v>8</v>
      </c>
      <c r="F30" s="5">
        <v>1.3649069519601083</v>
      </c>
      <c r="G30" s="6" t="s">
        <v>8</v>
      </c>
      <c r="H30" s="5">
        <v>0.85408596983200835</v>
      </c>
      <c r="I30" s="6" t="s">
        <v>8</v>
      </c>
      <c r="J30" s="5">
        <v>3.0912443895047219</v>
      </c>
      <c r="K30" s="6" t="s">
        <v>8</v>
      </c>
      <c r="L30" s="5">
        <v>1.8942726268534686</v>
      </c>
      <c r="M30" s="6" t="s">
        <v>8</v>
      </c>
    </row>
    <row r="31" spans="1:13" ht="14.4" x14ac:dyDescent="0.25">
      <c r="A31" s="2" t="s">
        <v>36</v>
      </c>
      <c r="B31" s="5">
        <v>1.4521594606108441</v>
      </c>
      <c r="C31" s="6" t="s">
        <v>8</v>
      </c>
      <c r="D31" s="5">
        <v>1.622771702193389</v>
      </c>
      <c r="E31" s="6" t="s">
        <v>8</v>
      </c>
      <c r="F31" s="5">
        <v>0.30892131535185163</v>
      </c>
      <c r="G31" s="6" t="s">
        <v>8</v>
      </c>
      <c r="H31" s="5">
        <v>0.46869241034294967</v>
      </c>
      <c r="I31" s="6" t="s">
        <v>8</v>
      </c>
      <c r="J31" s="5">
        <v>0.89481795053828794</v>
      </c>
      <c r="K31" s="6" t="s">
        <v>8</v>
      </c>
      <c r="L31" s="5">
        <v>0.83860823460582135</v>
      </c>
      <c r="M31" s="6" t="s">
        <v>8</v>
      </c>
    </row>
    <row r="32" spans="1:13" ht="14.4" x14ac:dyDescent="0.25">
      <c r="A32" s="7" t="s">
        <v>37</v>
      </c>
      <c r="B32" s="5">
        <v>0.8731479633097039</v>
      </c>
      <c r="C32" s="6" t="s">
        <v>8</v>
      </c>
      <c r="D32" s="5">
        <v>1.313447516339082</v>
      </c>
      <c r="E32" s="6" t="s">
        <v>8</v>
      </c>
      <c r="F32" s="5">
        <v>0.14949538478429669</v>
      </c>
      <c r="G32" s="6" t="s">
        <v>8</v>
      </c>
      <c r="H32" s="5">
        <v>0.42052195188256042</v>
      </c>
      <c r="I32" s="6" t="s">
        <v>8</v>
      </c>
      <c r="J32" s="5">
        <v>0.38503425459479912</v>
      </c>
      <c r="K32" s="6" t="s">
        <v>8</v>
      </c>
      <c r="L32" s="5">
        <v>0.71953658260344266</v>
      </c>
      <c r="M32" s="6" t="s">
        <v>8</v>
      </c>
    </row>
    <row r="33" spans="1:13" ht="14.4" x14ac:dyDescent="0.25">
      <c r="A33" s="7" t="s">
        <v>38</v>
      </c>
      <c r="B33" s="5">
        <v>0.91346939297330965</v>
      </c>
      <c r="C33" s="6" t="s">
        <v>8</v>
      </c>
      <c r="D33" s="5">
        <v>0.5628964016601522</v>
      </c>
      <c r="E33" s="6" t="s">
        <v>8</v>
      </c>
      <c r="F33" s="5">
        <v>-3.7797376323463264E-2</v>
      </c>
      <c r="G33" s="6" t="s">
        <v>8</v>
      </c>
      <c r="H33" s="5">
        <v>-2.4497158454505136E-2</v>
      </c>
      <c r="I33" s="6" t="s">
        <v>8</v>
      </c>
      <c r="J33" s="5">
        <v>0.69520468562670013</v>
      </c>
      <c r="K33" s="6" t="s">
        <v>8</v>
      </c>
      <c r="L33" s="5">
        <v>0.18573196672835157</v>
      </c>
      <c r="M33" s="6" t="s">
        <v>8</v>
      </c>
    </row>
    <row r="34" spans="1:13" ht="14.4" x14ac:dyDescent="0.25">
      <c r="A34" s="7" t="s">
        <v>39</v>
      </c>
      <c r="B34" s="5">
        <v>1.6127910983427793</v>
      </c>
      <c r="C34" s="6" t="s">
        <v>8</v>
      </c>
      <c r="D34" s="5">
        <v>1.882604415138486</v>
      </c>
      <c r="E34" s="6" t="s">
        <v>8</v>
      </c>
      <c r="F34" s="5">
        <v>0.32996216151036434</v>
      </c>
      <c r="G34" s="6" t="s">
        <v>8</v>
      </c>
      <c r="H34" s="5">
        <v>0.47045748779460644</v>
      </c>
      <c r="I34" s="6" t="s">
        <v>8</v>
      </c>
      <c r="J34" s="5">
        <v>0.77676377545117681</v>
      </c>
      <c r="K34" s="6" t="s">
        <v>8</v>
      </c>
      <c r="L34" s="5">
        <v>0.88175324056423943</v>
      </c>
      <c r="M34" s="6" t="s">
        <v>8</v>
      </c>
    </row>
    <row r="35" spans="1:13" ht="14.4" x14ac:dyDescent="0.25">
      <c r="A35" s="2" t="s">
        <v>40</v>
      </c>
      <c r="B35" s="5">
        <v>1.3007418888072286</v>
      </c>
      <c r="C35" s="6" t="s">
        <v>8</v>
      </c>
      <c r="D35" s="5">
        <v>1.2956358170138087</v>
      </c>
      <c r="E35" s="6" t="s">
        <v>8</v>
      </c>
      <c r="F35" s="5">
        <v>0.38018411082192255</v>
      </c>
      <c r="G35" s="6" t="s">
        <v>8</v>
      </c>
      <c r="H35" s="5">
        <v>0.41734012630042133</v>
      </c>
      <c r="I35" s="6" t="s">
        <v>8</v>
      </c>
      <c r="J35" s="5">
        <v>0.60936025388087478</v>
      </c>
      <c r="K35" s="6" t="s">
        <v>8</v>
      </c>
      <c r="L35" s="5">
        <v>0.86759536456935515</v>
      </c>
      <c r="M35" s="6" t="s">
        <v>8</v>
      </c>
    </row>
    <row r="36" spans="1:13" ht="14.4" x14ac:dyDescent="0.25">
      <c r="A36" s="7" t="s">
        <v>41</v>
      </c>
      <c r="B36" s="5">
        <v>0.94245425549579698</v>
      </c>
      <c r="C36" s="6" t="s">
        <v>8</v>
      </c>
      <c r="D36" s="5">
        <v>1.0924340182877521</v>
      </c>
      <c r="E36" s="6" t="s">
        <v>8</v>
      </c>
      <c r="F36" s="5">
        <v>0.14723359740709949</v>
      </c>
      <c r="G36" s="6" t="s">
        <v>8</v>
      </c>
      <c r="H36" s="5">
        <v>0.31159723526880717</v>
      </c>
      <c r="I36" s="6" t="s">
        <v>8</v>
      </c>
      <c r="J36" s="5">
        <v>0.29754799445728991</v>
      </c>
      <c r="K36" s="6" t="s">
        <v>8</v>
      </c>
      <c r="L36" s="5">
        <v>0.56723517812175961</v>
      </c>
      <c r="M36" s="6" t="s">
        <v>8</v>
      </c>
    </row>
    <row r="37" spans="1:13" ht="14.4" x14ac:dyDescent="0.25">
      <c r="A37" s="7" t="s">
        <v>42</v>
      </c>
      <c r="B37" s="5">
        <v>2.1524751368237478</v>
      </c>
      <c r="C37" s="6" t="s">
        <v>8</v>
      </c>
      <c r="D37" s="5">
        <v>1.6557182423714059</v>
      </c>
      <c r="E37" s="6" t="s">
        <v>8</v>
      </c>
      <c r="F37" s="5">
        <v>0.76171814971829233</v>
      </c>
      <c r="G37" s="6" t="s">
        <v>8</v>
      </c>
      <c r="H37" s="5">
        <v>0.52690768342352134</v>
      </c>
      <c r="I37" s="6" t="s">
        <v>8</v>
      </c>
      <c r="J37" s="5">
        <v>0.98228183234264987</v>
      </c>
      <c r="K37" s="6" t="s">
        <v>8</v>
      </c>
      <c r="L37" s="5">
        <v>1.1531533570969996</v>
      </c>
      <c r="M37" s="6" t="s">
        <v>8</v>
      </c>
    </row>
    <row r="38" spans="1:13" ht="14.4" x14ac:dyDescent="0.25">
      <c r="A38" s="7" t="s">
        <v>43</v>
      </c>
      <c r="B38" s="5">
        <v>0.80194187810921336</v>
      </c>
      <c r="C38" s="6" t="s">
        <v>8</v>
      </c>
      <c r="D38" s="5">
        <v>0.94256971943718915</v>
      </c>
      <c r="E38" s="6" t="s">
        <v>8</v>
      </c>
      <c r="F38" s="5">
        <v>0.12670183182748479</v>
      </c>
      <c r="G38" s="6" t="s">
        <v>8</v>
      </c>
      <c r="H38" s="5">
        <v>0.28792215206296962</v>
      </c>
      <c r="I38" s="6" t="s">
        <v>8</v>
      </c>
      <c r="J38" s="5">
        <v>0.62615357826919615</v>
      </c>
      <c r="K38" s="6" t="s">
        <v>8</v>
      </c>
      <c r="L38" s="5">
        <v>0.55459936575052771</v>
      </c>
      <c r="M38" s="6" t="s">
        <v>8</v>
      </c>
    </row>
    <row r="39" spans="1:13" ht="14.4" x14ac:dyDescent="0.25">
      <c r="A39" s="7" t="s">
        <v>44</v>
      </c>
      <c r="B39" s="5">
        <v>0.86606228935854168</v>
      </c>
      <c r="C39" s="6">
        <v>1.1000000000000001E-3</v>
      </c>
      <c r="D39" s="5">
        <v>1.1041378060587861</v>
      </c>
      <c r="E39" s="6">
        <v>3.2399999999999998E-2</v>
      </c>
      <c r="F39" s="5">
        <v>0.26443338463338789</v>
      </c>
      <c r="G39" s="6" t="s">
        <v>8</v>
      </c>
      <c r="H39" s="5">
        <v>0.41569497525633997</v>
      </c>
      <c r="I39" s="6" t="s">
        <v>8</v>
      </c>
      <c r="J39" s="5">
        <v>0.33623034542685082</v>
      </c>
      <c r="K39" s="6" t="s">
        <v>8</v>
      </c>
      <c r="L39" s="5">
        <v>0.78120241652591893</v>
      </c>
      <c r="M39" s="6" t="s">
        <v>8</v>
      </c>
    </row>
    <row r="40" spans="1:13" ht="14.4" x14ac:dyDescent="0.25">
      <c r="A40" s="9" t="s">
        <v>45</v>
      </c>
      <c r="B40" s="5">
        <v>2.0302087994422497</v>
      </c>
      <c r="C40" s="6" t="s">
        <v>8</v>
      </c>
      <c r="D40" s="5">
        <v>1.710351723191045</v>
      </c>
      <c r="E40" s="6" t="s">
        <v>8</v>
      </c>
      <c r="F40" s="5">
        <v>0.66785187279968272</v>
      </c>
      <c r="G40" s="6" t="s">
        <v>8</v>
      </c>
      <c r="H40" s="5">
        <v>0.54595762933280867</v>
      </c>
      <c r="I40" s="6" t="s">
        <v>8</v>
      </c>
      <c r="J40" s="5">
        <v>1.7327169065555852</v>
      </c>
      <c r="K40" s="6" t="s">
        <v>8</v>
      </c>
      <c r="L40" s="5">
        <v>1.1914205163791982</v>
      </c>
      <c r="M40" s="6" t="s">
        <v>8</v>
      </c>
    </row>
    <row r="41" spans="1:13" ht="14.4" x14ac:dyDescent="0.25">
      <c r="A41" s="10" t="s">
        <v>46</v>
      </c>
      <c r="B41" s="5">
        <v>2.547388454149039</v>
      </c>
      <c r="C41" s="6" t="s">
        <v>8</v>
      </c>
      <c r="D41" s="5">
        <v>1.7748082085733003</v>
      </c>
      <c r="E41" s="6" t="s">
        <v>8</v>
      </c>
      <c r="F41" s="5">
        <v>0.81789350400540972</v>
      </c>
      <c r="G41" s="6" t="s">
        <v>8</v>
      </c>
      <c r="H41" s="5">
        <v>0.56388569397744026</v>
      </c>
      <c r="I41" s="6" t="s">
        <v>8</v>
      </c>
      <c r="J41" s="5">
        <v>2.0315869490100655</v>
      </c>
      <c r="K41" s="6" t="s">
        <v>8</v>
      </c>
      <c r="L41" s="5">
        <v>1.2166573835331809</v>
      </c>
      <c r="M41" s="6" t="s">
        <v>8</v>
      </c>
    </row>
    <row r="42" spans="1:13" ht="14.4" x14ac:dyDescent="0.25">
      <c r="A42" s="10" t="s">
        <v>47</v>
      </c>
      <c r="B42" s="5">
        <v>2.8166129450708168</v>
      </c>
      <c r="C42" s="6" t="s">
        <v>8</v>
      </c>
      <c r="D42" s="5">
        <v>2.1946769111506126</v>
      </c>
      <c r="E42" s="6" t="s">
        <v>8</v>
      </c>
      <c r="F42" s="5">
        <v>0.92803278896656449</v>
      </c>
      <c r="G42" s="6" t="s">
        <v>8</v>
      </c>
      <c r="H42" s="5">
        <v>0.70071219085234293</v>
      </c>
      <c r="I42" s="6" t="s">
        <v>8</v>
      </c>
      <c r="J42" s="5">
        <v>2.2145463391174647</v>
      </c>
      <c r="K42" s="6" t="s">
        <v>8</v>
      </c>
      <c r="L42" s="5">
        <v>1.4506906466487401</v>
      </c>
      <c r="M42" s="6" t="s">
        <v>8</v>
      </c>
    </row>
    <row r="43" spans="1:13" ht="14.4" x14ac:dyDescent="0.25">
      <c r="A43" s="10" t="s">
        <v>48</v>
      </c>
      <c r="B43" s="5">
        <v>1.1819221040414698</v>
      </c>
      <c r="C43" s="6" t="s">
        <v>8</v>
      </c>
      <c r="D43" s="5">
        <v>1.1659759202934989</v>
      </c>
      <c r="E43" s="6" t="s">
        <v>8</v>
      </c>
      <c r="F43" s="5">
        <v>0.39939022816812325</v>
      </c>
      <c r="G43" s="6" t="s">
        <v>8</v>
      </c>
      <c r="H43" s="5">
        <v>0.37880074522803742</v>
      </c>
      <c r="I43" s="6" t="s">
        <v>8</v>
      </c>
      <c r="J43" s="5">
        <v>1.1146854250643081</v>
      </c>
      <c r="K43" s="6" t="s">
        <v>8</v>
      </c>
      <c r="L43" s="5">
        <v>0.83511365294703976</v>
      </c>
      <c r="M43" s="6" t="s">
        <v>8</v>
      </c>
    </row>
    <row r="44" spans="1:13" ht="14.4" x14ac:dyDescent="0.25">
      <c r="A44" s="2" t="s">
        <v>49</v>
      </c>
      <c r="B44" s="5">
        <v>3.1719020042700525</v>
      </c>
      <c r="C44" s="6" t="s">
        <v>8</v>
      </c>
      <c r="D44" s="5">
        <v>2.2887432159891388</v>
      </c>
      <c r="E44" s="6" t="s">
        <v>8</v>
      </c>
      <c r="F44" s="5">
        <v>1.185816992600079</v>
      </c>
      <c r="G44" s="6" t="s">
        <v>8</v>
      </c>
      <c r="H44" s="5">
        <v>0.86113511953984767</v>
      </c>
      <c r="I44" s="6" t="s">
        <v>8</v>
      </c>
      <c r="J44" s="5">
        <v>3.071930812031137</v>
      </c>
      <c r="K44" s="6" t="s">
        <v>8</v>
      </c>
      <c r="L44" s="5">
        <v>1.909514361418911</v>
      </c>
      <c r="M44" s="6" t="s">
        <v>8</v>
      </c>
    </row>
    <row r="45" spans="1:13" ht="14.4" x14ac:dyDescent="0.25">
      <c r="A45" s="7" t="s">
        <v>50</v>
      </c>
      <c r="B45" s="5">
        <v>3.2886210909999778</v>
      </c>
      <c r="C45" s="6" t="s">
        <v>8</v>
      </c>
      <c r="D45" s="5">
        <v>2.2293819436679247</v>
      </c>
      <c r="E45" s="6" t="s">
        <v>8</v>
      </c>
      <c r="F45" s="5">
        <v>1.2709048263133584</v>
      </c>
      <c r="G45" s="6" t="s">
        <v>8</v>
      </c>
      <c r="H45" s="5">
        <v>0.85419322577732737</v>
      </c>
      <c r="I45" s="6" t="s">
        <v>8</v>
      </c>
      <c r="J45" s="5">
        <v>3.4885746502307611</v>
      </c>
      <c r="K45" s="6" t="s">
        <v>8</v>
      </c>
      <c r="L45" s="5">
        <v>2.0253362307408116</v>
      </c>
      <c r="M45" s="6" t="s">
        <v>8</v>
      </c>
    </row>
    <row r="46" spans="1:13" ht="14.4" x14ac:dyDescent="0.25">
      <c r="A46" s="7" t="s">
        <v>51</v>
      </c>
      <c r="B46" s="5">
        <v>4.4628218523309773</v>
      </c>
      <c r="C46" s="6" t="s">
        <v>8</v>
      </c>
      <c r="D46" s="5">
        <v>3.4951269333336912</v>
      </c>
      <c r="E46" s="6" t="s">
        <v>8</v>
      </c>
      <c r="F46" s="5">
        <v>1.6621673397170549</v>
      </c>
      <c r="G46" s="6" t="s">
        <v>8</v>
      </c>
      <c r="H46" s="5">
        <v>1.3027112846830402</v>
      </c>
      <c r="I46" s="6" t="s">
        <v>8</v>
      </c>
      <c r="J46" s="5">
        <v>4.3109996109855917</v>
      </c>
      <c r="K46" s="6" t="s">
        <v>8</v>
      </c>
      <c r="L46" s="5">
        <v>2.7592753307288627</v>
      </c>
      <c r="M46" s="6" t="s">
        <v>8</v>
      </c>
    </row>
    <row r="47" spans="1:13" ht="14.4" x14ac:dyDescent="0.25">
      <c r="A47" s="7" t="s">
        <v>52</v>
      </c>
      <c r="B47" s="5">
        <v>2.4150729071807349</v>
      </c>
      <c r="C47" s="6" t="s">
        <v>8</v>
      </c>
      <c r="D47" s="5">
        <v>1.6757762339603419</v>
      </c>
      <c r="E47" s="6" t="s">
        <v>8</v>
      </c>
      <c r="F47" s="5">
        <v>0.90731485436300796</v>
      </c>
      <c r="G47" s="6" t="s">
        <v>8</v>
      </c>
      <c r="H47" s="5">
        <v>0.63328258140165894</v>
      </c>
      <c r="I47" s="6" t="s">
        <v>8</v>
      </c>
      <c r="J47" s="5">
        <v>1.8819541559759769</v>
      </c>
      <c r="K47" s="6" t="s">
        <v>8</v>
      </c>
      <c r="L47" s="5">
        <v>1.193145229690542</v>
      </c>
      <c r="M47" s="6" t="s">
        <v>8</v>
      </c>
    </row>
    <row r="48" spans="1:13" ht="14.4" x14ac:dyDescent="0.25">
      <c r="A48" s="7" t="s">
        <v>53</v>
      </c>
      <c r="B48" s="5">
        <v>2.2412992975853983</v>
      </c>
      <c r="C48" s="6" t="s">
        <v>8</v>
      </c>
      <c r="D48" s="5">
        <v>1.5716450454453308</v>
      </c>
      <c r="E48" s="6" t="s">
        <v>8</v>
      </c>
      <c r="F48" s="5">
        <v>0.81587547899296586</v>
      </c>
      <c r="G48" s="6" t="s">
        <v>8</v>
      </c>
      <c r="H48" s="5">
        <v>0.54884797828886567</v>
      </c>
      <c r="I48" s="6" t="s">
        <v>8</v>
      </c>
      <c r="J48" s="5">
        <v>1.5581236714753637</v>
      </c>
      <c r="K48" s="6" t="s">
        <v>8</v>
      </c>
      <c r="L48" s="5">
        <v>1.1006236274565004</v>
      </c>
      <c r="M48" s="6" t="s">
        <v>8</v>
      </c>
    </row>
    <row r="49" spans="1:13" ht="14.4" x14ac:dyDescent="0.25">
      <c r="A49" s="7" t="s">
        <v>54</v>
      </c>
      <c r="B49" s="5">
        <v>2.2954945766790669</v>
      </c>
      <c r="C49" s="6" t="s">
        <v>8</v>
      </c>
      <c r="D49" s="5">
        <v>1.6164732999018165</v>
      </c>
      <c r="E49" s="6" t="s">
        <v>8</v>
      </c>
      <c r="F49" s="5">
        <v>0.83287956446534661</v>
      </c>
      <c r="G49" s="6" t="s">
        <v>8</v>
      </c>
      <c r="H49" s="5">
        <v>0.60650600324066661</v>
      </c>
      <c r="I49" s="6" t="s">
        <v>8</v>
      </c>
      <c r="J49" s="5">
        <v>2.1847061620289243</v>
      </c>
      <c r="K49" s="6" t="s">
        <v>8</v>
      </c>
      <c r="L49" s="5">
        <v>1.6382446429599351</v>
      </c>
      <c r="M49" s="6" t="s">
        <v>8</v>
      </c>
    </row>
    <row r="50" spans="1:13" ht="14.4" x14ac:dyDescent="0.25">
      <c r="A50" s="7" t="s">
        <v>55</v>
      </c>
      <c r="B50" s="5">
        <v>1.5247179542455813</v>
      </c>
      <c r="C50" s="6" t="s">
        <v>8</v>
      </c>
      <c r="D50" s="5">
        <v>1.0274570114390773</v>
      </c>
      <c r="E50" s="6" t="s">
        <v>8</v>
      </c>
      <c r="F50" s="5">
        <v>0.55235319514031056</v>
      </c>
      <c r="G50" s="6" t="s">
        <v>8</v>
      </c>
      <c r="H50" s="5">
        <v>0.28167753598055262</v>
      </c>
      <c r="I50" s="6" t="s">
        <v>8</v>
      </c>
      <c r="J50" s="5">
        <v>1.8981110722106409</v>
      </c>
      <c r="K50" s="6" t="s">
        <v>8</v>
      </c>
      <c r="L50" s="5">
        <v>0.73468570488650475</v>
      </c>
      <c r="M50" s="6" t="s">
        <v>8</v>
      </c>
    </row>
    <row r="51" spans="1:13" ht="14.4" x14ac:dyDescent="0.25">
      <c r="A51" s="7" t="s">
        <v>56</v>
      </c>
      <c r="B51" s="5">
        <v>1.1946930344858573</v>
      </c>
      <c r="C51" s="6" t="s">
        <v>8</v>
      </c>
      <c r="D51" s="5">
        <v>0.83618862642324887</v>
      </c>
      <c r="E51" s="6" t="s">
        <v>8</v>
      </c>
      <c r="F51" s="5">
        <v>0.36367844067162092</v>
      </c>
      <c r="G51" s="6" t="s">
        <v>8</v>
      </c>
      <c r="H51" s="5">
        <v>0.31287161767406108</v>
      </c>
      <c r="I51" s="6" t="s">
        <v>8</v>
      </c>
      <c r="J51" s="5">
        <v>0.57579027507086644</v>
      </c>
      <c r="K51" s="6" t="s">
        <v>8</v>
      </c>
      <c r="L51" s="5">
        <v>0.73082925336597238</v>
      </c>
      <c r="M51" s="6" t="s">
        <v>8</v>
      </c>
    </row>
    <row r="52" spans="1:13" ht="14.4" x14ac:dyDescent="0.25">
      <c r="A52" s="2" t="s">
        <v>57</v>
      </c>
      <c r="B52" s="5">
        <v>-0.17349125416443387</v>
      </c>
      <c r="C52" s="11">
        <v>2.8000000000000001E-2</v>
      </c>
      <c r="D52" s="5">
        <v>-0.20950725980846452</v>
      </c>
      <c r="E52" s="6">
        <v>0.37780000000000002</v>
      </c>
      <c r="F52" s="5">
        <v>-0.28967297088472438</v>
      </c>
      <c r="G52" s="6">
        <v>0.30009999999999998</v>
      </c>
      <c r="H52" s="5">
        <v>-0.26675520668146713</v>
      </c>
      <c r="I52" s="6">
        <v>0.93289999999999995</v>
      </c>
      <c r="J52" s="5">
        <v>-0.30538472981216397</v>
      </c>
      <c r="K52" s="6">
        <v>0.74719999999999998</v>
      </c>
      <c r="L52" s="5">
        <v>-0.32575500645994815</v>
      </c>
      <c r="M52" s="6">
        <v>0.99539999999999995</v>
      </c>
    </row>
    <row r="53" spans="1:13" ht="14.4" x14ac:dyDescent="0.25">
      <c r="A53" s="2" t="s">
        <v>58</v>
      </c>
      <c r="B53" s="5">
        <v>2.6369087797450326</v>
      </c>
      <c r="C53" s="6" t="s">
        <v>8</v>
      </c>
      <c r="D53" s="5">
        <v>2.345148076999338</v>
      </c>
      <c r="E53" s="6" t="s">
        <v>8</v>
      </c>
      <c r="F53" s="5">
        <v>0.77304737814246272</v>
      </c>
      <c r="G53" s="6" t="s">
        <v>8</v>
      </c>
      <c r="H53" s="5">
        <v>0.59685112069996393</v>
      </c>
      <c r="I53" s="6" t="s">
        <v>8</v>
      </c>
      <c r="J53" s="5">
        <v>2.0128071701620103</v>
      </c>
      <c r="K53" s="6" t="s">
        <v>8</v>
      </c>
      <c r="L53" s="5">
        <v>1.300397401404477</v>
      </c>
      <c r="M53" s="6" t="s">
        <v>8</v>
      </c>
    </row>
    <row r="54" spans="1:13" ht="14.4" x14ac:dyDescent="0.25">
      <c r="A54" s="2" t="s">
        <v>59</v>
      </c>
      <c r="B54" s="5">
        <v>1.3125484671043557</v>
      </c>
      <c r="C54" s="6" t="s">
        <v>8</v>
      </c>
      <c r="D54" s="5">
        <v>0.98442783832512581</v>
      </c>
      <c r="E54" s="6" t="s">
        <v>8</v>
      </c>
      <c r="F54" s="5">
        <v>0.24209073648217799</v>
      </c>
      <c r="G54" s="6" t="s">
        <v>8</v>
      </c>
      <c r="H54" s="5">
        <v>0.14872110277834458</v>
      </c>
      <c r="I54" s="6" t="s">
        <v>8</v>
      </c>
      <c r="J54" s="5">
        <v>0.99112147211501689</v>
      </c>
      <c r="K54" s="6" t="s">
        <v>8</v>
      </c>
      <c r="L54" s="5">
        <v>0.63646913270282479</v>
      </c>
      <c r="M54" s="6" t="s">
        <v>8</v>
      </c>
    </row>
    <row r="55" spans="1:13" ht="14.4" x14ac:dyDescent="0.25">
      <c r="A55" s="2" t="s">
        <v>60</v>
      </c>
      <c r="B55" s="5">
        <v>-0.90051258196073702</v>
      </c>
      <c r="C55" s="6">
        <v>0.23039999999999999</v>
      </c>
      <c r="D55" s="5">
        <v>-0.61027264473908194</v>
      </c>
      <c r="E55" s="6" t="s">
        <v>8</v>
      </c>
      <c r="F55" s="5">
        <v>-0.82597903842000753</v>
      </c>
      <c r="G55" s="6">
        <v>0.43280000000000002</v>
      </c>
      <c r="H55" s="5">
        <v>-0.59204450571855771</v>
      </c>
      <c r="I55" s="6">
        <v>7.6E-3</v>
      </c>
      <c r="J55" s="5">
        <v>-0.95900453164027233</v>
      </c>
      <c r="K55" s="6">
        <v>0.37230000000000002</v>
      </c>
      <c r="L55" s="5">
        <v>-0.52061580446131939</v>
      </c>
      <c r="M55" s="6">
        <v>5.9700000000000003E-2</v>
      </c>
    </row>
  </sheetData>
  <mergeCells count="3">
    <mergeCell ref="B1:E1"/>
    <mergeCell ref="F1:I1"/>
    <mergeCell ref="J1:M1"/>
  </mergeCells>
  <phoneticPr fontId="5" type="noConversion"/>
  <conditionalFormatting sqref="B3:B55">
    <cfRule type="top10" dxfId="37" priority="11" bottom="1" rank="3"/>
    <cfRule type="top10" dxfId="36" priority="12" rank="3"/>
  </conditionalFormatting>
  <conditionalFormatting sqref="D3:D55">
    <cfRule type="top10" dxfId="35" priority="9" bottom="1" rank="3"/>
    <cfRule type="top10" dxfId="34" priority="10" rank="3"/>
  </conditionalFormatting>
  <conditionalFormatting sqref="F3:F55">
    <cfRule type="top10" dxfId="33" priority="7" bottom="1" rank="3"/>
    <cfRule type="top10" dxfId="32" priority="8" rank="3"/>
  </conditionalFormatting>
  <conditionalFormatting sqref="H3:H55">
    <cfRule type="top10" dxfId="31" priority="5" bottom="1" rank="3"/>
    <cfRule type="top10" dxfId="30" priority="6" rank="3"/>
  </conditionalFormatting>
  <conditionalFormatting sqref="J3:J55">
    <cfRule type="top10" dxfId="29" priority="3" bottom="1" rank="3"/>
    <cfRule type="top10" dxfId="28" priority="4" rank="3"/>
  </conditionalFormatting>
  <conditionalFormatting sqref="L3:L55">
    <cfRule type="top10" dxfId="27" priority="1" bottom="1" rank="3"/>
    <cfRule type="top10" dxfId="26" priority="2" rank="3"/>
  </conditionalFormatting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98EC-9101-4EF8-9532-9ABBC8B312FA}">
  <dimension ref="A1:M48"/>
  <sheetViews>
    <sheetView zoomScale="85" zoomScaleNormal="85" workbookViewId="0">
      <selection activeCell="F43" sqref="F43"/>
    </sheetView>
  </sheetViews>
  <sheetFormatPr defaultColWidth="9" defaultRowHeight="13.8" x14ac:dyDescent="0.25"/>
  <cols>
    <col min="2" max="2" width="16.33203125" style="1" customWidth="1"/>
    <col min="4" max="4" width="15.21875" style="1" customWidth="1"/>
    <col min="6" max="6" width="12.33203125" style="1" customWidth="1"/>
    <col min="8" max="8" width="9" style="1"/>
    <col min="10" max="10" width="9" style="1"/>
    <col min="12" max="12" width="9" style="1"/>
  </cols>
  <sheetData>
    <row r="1" spans="1:13" ht="13.8" customHeight="1" x14ac:dyDescent="0.25">
      <c r="A1" s="2"/>
      <c r="B1" s="12" t="s">
        <v>0</v>
      </c>
      <c r="C1" s="12"/>
      <c r="D1" s="12"/>
      <c r="E1" s="12"/>
      <c r="F1" s="12" t="s">
        <v>1</v>
      </c>
      <c r="G1" s="12"/>
      <c r="H1" s="12"/>
      <c r="I1" s="12"/>
      <c r="J1" s="12" t="s">
        <v>2</v>
      </c>
      <c r="K1" s="12"/>
      <c r="L1" s="12"/>
      <c r="M1" s="12"/>
    </row>
    <row r="2" spans="1:13" x14ac:dyDescent="0.25">
      <c r="A2" s="2" t="s">
        <v>3</v>
      </c>
      <c r="B2" s="3" t="s">
        <v>4</v>
      </c>
      <c r="C2" s="4" t="s">
        <v>5</v>
      </c>
      <c r="D2" s="3" t="s">
        <v>6</v>
      </c>
      <c r="E2" s="4" t="s">
        <v>5</v>
      </c>
      <c r="F2" s="3" t="s">
        <v>4</v>
      </c>
      <c r="G2" s="4" t="s">
        <v>5</v>
      </c>
      <c r="H2" s="3" t="s">
        <v>6</v>
      </c>
      <c r="I2" s="4" t="s">
        <v>5</v>
      </c>
      <c r="J2" s="3" t="s">
        <v>4</v>
      </c>
      <c r="K2" s="4" t="s">
        <v>5</v>
      </c>
      <c r="L2" s="3" t="s">
        <v>6</v>
      </c>
      <c r="M2" s="4" t="s">
        <v>5</v>
      </c>
    </row>
    <row r="3" spans="1:13" ht="14.4" x14ac:dyDescent="0.25">
      <c r="A3" s="2" t="s">
        <v>7</v>
      </c>
      <c r="B3" s="5">
        <v>2.5880770566425024</v>
      </c>
      <c r="C3" s="6" t="s">
        <v>8</v>
      </c>
      <c r="D3" s="5">
        <v>1.9677016385794344</v>
      </c>
      <c r="E3" s="6" t="s">
        <v>8</v>
      </c>
      <c r="F3" s="5">
        <v>0.80543569505425494</v>
      </c>
      <c r="G3" s="6" t="s">
        <v>8</v>
      </c>
      <c r="H3" s="5">
        <v>0.56804037519274708</v>
      </c>
      <c r="I3" s="6" t="s">
        <v>8</v>
      </c>
      <c r="J3" s="5">
        <v>1.8203064903079218</v>
      </c>
      <c r="K3" s="6" t="s">
        <v>8</v>
      </c>
      <c r="L3" s="5">
        <v>1.1183864681829798</v>
      </c>
      <c r="M3" s="6" t="s">
        <v>8</v>
      </c>
    </row>
    <row r="4" spans="1:13" ht="14.4" x14ac:dyDescent="0.25">
      <c r="A4" s="7" t="s">
        <v>9</v>
      </c>
      <c r="B4" s="5">
        <v>2.3619260608371828</v>
      </c>
      <c r="C4" s="6" t="s">
        <v>8</v>
      </c>
      <c r="D4" s="5">
        <v>1.5754781602247117</v>
      </c>
      <c r="E4" s="6" t="s">
        <v>8</v>
      </c>
      <c r="F4" s="5">
        <v>0.71923424621475751</v>
      </c>
      <c r="G4" s="6" t="s">
        <v>8</v>
      </c>
      <c r="H4" s="5">
        <v>0.39600092653745683</v>
      </c>
      <c r="I4" s="6" t="s">
        <v>8</v>
      </c>
      <c r="J4" s="5">
        <v>1.6451404185026544</v>
      </c>
      <c r="K4" s="6" t="s">
        <v>8</v>
      </c>
      <c r="L4" s="5">
        <v>0.7741662372834488</v>
      </c>
      <c r="M4" s="6" t="s">
        <v>8</v>
      </c>
    </row>
    <row r="5" spans="1:13" ht="14.4" x14ac:dyDescent="0.25">
      <c r="A5" s="7" t="s">
        <v>10</v>
      </c>
      <c r="B5" s="5">
        <v>2.7673820701794316</v>
      </c>
      <c r="C5" s="6" t="s">
        <v>8</v>
      </c>
      <c r="D5" s="5">
        <v>2.2674439570246796</v>
      </c>
      <c r="E5" s="6" t="s">
        <v>8</v>
      </c>
      <c r="F5" s="5">
        <v>0.74023176467738272</v>
      </c>
      <c r="G5" s="6" t="s">
        <v>8</v>
      </c>
      <c r="H5" s="5">
        <v>0.64960620220601228</v>
      </c>
      <c r="I5" s="6" t="s">
        <v>8</v>
      </c>
      <c r="J5" s="5">
        <v>1.8883985377819783</v>
      </c>
      <c r="K5" s="6" t="s">
        <v>8</v>
      </c>
      <c r="L5" s="5">
        <v>1.3227667527993108</v>
      </c>
      <c r="M5" s="6" t="s">
        <v>8</v>
      </c>
    </row>
    <row r="6" spans="1:13" ht="14.4" x14ac:dyDescent="0.25">
      <c r="A6" s="7" t="s">
        <v>11</v>
      </c>
      <c r="B6" s="5">
        <v>4.0405546518669323E-2</v>
      </c>
      <c r="C6" s="6" t="s">
        <v>8</v>
      </c>
      <c r="D6" s="5">
        <v>5.1483561355092328E-2</v>
      </c>
      <c r="E6" s="6" t="s">
        <v>8</v>
      </c>
      <c r="F6" s="5">
        <v>-3.3070632392988512E-2</v>
      </c>
      <c r="G6" s="6" t="s">
        <v>8</v>
      </c>
      <c r="H6" s="5">
        <v>-3.7429898439151336E-2</v>
      </c>
      <c r="I6" s="6" t="s">
        <v>8</v>
      </c>
      <c r="J6" s="5">
        <v>0.3813741409454664</v>
      </c>
      <c r="K6" s="6" t="s">
        <v>8</v>
      </c>
      <c r="L6" s="5">
        <v>0.23254905419066071</v>
      </c>
      <c r="M6" s="6" t="s">
        <v>8</v>
      </c>
    </row>
    <row r="7" spans="1:13" ht="14.4" x14ac:dyDescent="0.25">
      <c r="A7" s="7" t="s">
        <v>12</v>
      </c>
      <c r="B7" s="5">
        <v>2.6943487058057047</v>
      </c>
      <c r="C7" s="6" t="s">
        <v>8</v>
      </c>
      <c r="D7" s="5">
        <v>2.1050842100470057</v>
      </c>
      <c r="E7" s="6" t="s">
        <v>8</v>
      </c>
      <c r="F7" s="5">
        <v>0.89453646302392675</v>
      </c>
      <c r="G7" s="6" t="s">
        <v>8</v>
      </c>
      <c r="H7" s="5">
        <v>0.64418019848034702</v>
      </c>
      <c r="I7" s="6" t="s">
        <v>8</v>
      </c>
      <c r="J7" s="5">
        <v>1.9062382938466893</v>
      </c>
      <c r="K7" s="6" t="s">
        <v>8</v>
      </c>
      <c r="L7" s="5">
        <v>1.2257834554742184</v>
      </c>
      <c r="M7" s="6" t="s">
        <v>8</v>
      </c>
    </row>
    <row r="8" spans="1:13" ht="14.4" x14ac:dyDescent="0.25">
      <c r="A8" s="2" t="s">
        <v>17</v>
      </c>
      <c r="B8" s="5">
        <v>2.3911998154951384</v>
      </c>
      <c r="C8" s="6" t="s">
        <v>8</v>
      </c>
      <c r="D8" s="5">
        <v>1.7258089587365564</v>
      </c>
      <c r="E8" s="6" t="s">
        <v>8</v>
      </c>
      <c r="F8" s="5">
        <v>0.7792246254419507</v>
      </c>
      <c r="G8" s="6" t="s">
        <v>8</v>
      </c>
      <c r="H8" s="5">
        <v>0.55466108034431727</v>
      </c>
      <c r="I8" s="6" t="s">
        <v>8</v>
      </c>
      <c r="J8" s="5">
        <v>1.7570366193461069</v>
      </c>
      <c r="K8" s="6" t="s">
        <v>8</v>
      </c>
      <c r="L8" s="5">
        <v>1.0627365260448696</v>
      </c>
      <c r="M8" s="6" t="s">
        <v>8</v>
      </c>
    </row>
    <row r="9" spans="1:13" ht="14.4" x14ac:dyDescent="0.25">
      <c r="A9" s="7" t="s">
        <v>18</v>
      </c>
      <c r="B9" s="5">
        <v>1.4346000442185971</v>
      </c>
      <c r="C9" s="6" t="s">
        <v>8</v>
      </c>
      <c r="D9" s="5">
        <v>1.0229377623574543</v>
      </c>
      <c r="E9" s="6" t="s">
        <v>8</v>
      </c>
      <c r="F9" s="5">
        <v>0.46946011483903499</v>
      </c>
      <c r="G9" s="6" t="s">
        <v>8</v>
      </c>
      <c r="H9" s="5">
        <v>0.34297545383114042</v>
      </c>
      <c r="I9" s="6" t="s">
        <v>8</v>
      </c>
      <c r="J9" s="5">
        <v>0.39963155174795001</v>
      </c>
      <c r="K9" s="6" t="s">
        <v>8</v>
      </c>
      <c r="L9" s="5">
        <v>0.39671847393596354</v>
      </c>
      <c r="M9" s="6" t="s">
        <v>8</v>
      </c>
    </row>
    <row r="10" spans="1:13" ht="14.4" x14ac:dyDescent="0.25">
      <c r="A10" s="7" t="s">
        <v>19</v>
      </c>
      <c r="B10" s="5">
        <v>0.7727184006922011</v>
      </c>
      <c r="C10" s="6" t="s">
        <v>8</v>
      </c>
      <c r="D10" s="5">
        <v>1.0707709417551858</v>
      </c>
      <c r="E10" s="6">
        <v>1E-3</v>
      </c>
      <c r="F10" s="5">
        <v>0.14288638357321556</v>
      </c>
      <c r="G10" s="6" t="s">
        <v>8</v>
      </c>
      <c r="H10" s="5">
        <v>0.36261962965673711</v>
      </c>
      <c r="I10" s="6" t="s">
        <v>8</v>
      </c>
      <c r="J10" s="5">
        <v>0.16670066250424956</v>
      </c>
      <c r="K10" s="6" t="s">
        <v>8</v>
      </c>
      <c r="L10" s="5">
        <v>0.45034615384615373</v>
      </c>
      <c r="M10" s="6" t="s">
        <v>8</v>
      </c>
    </row>
    <row r="11" spans="1:13" ht="14.4" x14ac:dyDescent="0.25">
      <c r="A11" s="7" t="s">
        <v>20</v>
      </c>
      <c r="B11" s="5">
        <v>1.6350759769983649</v>
      </c>
      <c r="C11" s="6" t="s">
        <v>8</v>
      </c>
      <c r="D11" s="5">
        <v>1.3962149845133649</v>
      </c>
      <c r="E11" s="6" t="s">
        <v>8</v>
      </c>
      <c r="F11" s="5">
        <v>0.49401227962234695</v>
      </c>
      <c r="G11" s="6" t="s">
        <v>8</v>
      </c>
      <c r="H11" s="5">
        <v>0.4028920954319507</v>
      </c>
      <c r="I11" s="6" t="s">
        <v>8</v>
      </c>
      <c r="J11" s="5">
        <v>0.72547579709360233</v>
      </c>
      <c r="K11" s="6" t="s">
        <v>8</v>
      </c>
      <c r="L11" s="5">
        <v>0.5798215649608891</v>
      </c>
      <c r="M11" s="6" t="s">
        <v>8</v>
      </c>
    </row>
    <row r="12" spans="1:13" ht="14.4" x14ac:dyDescent="0.25">
      <c r="A12" s="2" t="s">
        <v>21</v>
      </c>
      <c r="B12" s="5">
        <v>3.579697819075454</v>
      </c>
      <c r="C12" s="6" t="s">
        <v>8</v>
      </c>
      <c r="D12" s="5">
        <v>2.9808024198753502</v>
      </c>
      <c r="E12" s="6" t="s">
        <v>8</v>
      </c>
      <c r="F12" s="5">
        <v>1.2867520951045468</v>
      </c>
      <c r="G12" s="6" t="s">
        <v>8</v>
      </c>
      <c r="H12" s="5">
        <v>1.018102757954928</v>
      </c>
      <c r="I12" s="6" t="s">
        <v>8</v>
      </c>
      <c r="J12" s="5">
        <v>2.7203124772677505</v>
      </c>
      <c r="K12" s="6" t="s">
        <v>8</v>
      </c>
      <c r="L12" s="5">
        <v>1.8604172809114925</v>
      </c>
      <c r="M12" s="6" t="s">
        <v>8</v>
      </c>
    </row>
    <row r="13" spans="1:13" ht="14.4" x14ac:dyDescent="0.25">
      <c r="A13" s="7" t="s">
        <v>22</v>
      </c>
      <c r="B13" s="5">
        <v>4.0276619216030909</v>
      </c>
      <c r="C13" s="6" t="s">
        <v>8</v>
      </c>
      <c r="D13" s="5">
        <v>3.5416241714845844</v>
      </c>
      <c r="E13" s="6" t="s">
        <v>8</v>
      </c>
      <c r="F13" s="5">
        <v>1.3426555505820232</v>
      </c>
      <c r="G13" s="6" t="s">
        <v>8</v>
      </c>
      <c r="H13" s="5">
        <v>1.2493504993437849</v>
      </c>
      <c r="I13" s="6" t="s">
        <v>8</v>
      </c>
      <c r="J13" s="5">
        <v>2.5420647897895021</v>
      </c>
      <c r="K13" s="6" t="s">
        <v>8</v>
      </c>
      <c r="L13" s="5">
        <v>2.0449443858735923</v>
      </c>
      <c r="M13" s="6" t="s">
        <v>8</v>
      </c>
    </row>
    <row r="14" spans="1:13" ht="14.4" x14ac:dyDescent="0.25">
      <c r="A14" s="7" t="s">
        <v>23</v>
      </c>
      <c r="B14" s="5">
        <v>2.5074147861817826</v>
      </c>
      <c r="C14" s="6" t="s">
        <v>8</v>
      </c>
      <c r="D14" s="5">
        <v>1.8427632602307173</v>
      </c>
      <c r="E14" s="6" t="s">
        <v>8</v>
      </c>
      <c r="F14" s="5">
        <v>0.93186221061119456</v>
      </c>
      <c r="G14" s="6" t="s">
        <v>8</v>
      </c>
      <c r="H14" s="5">
        <v>0.59923705109754222</v>
      </c>
      <c r="I14" s="6" t="s">
        <v>8</v>
      </c>
      <c r="J14" s="5">
        <v>2.1812606264679641</v>
      </c>
      <c r="K14" s="6" t="s">
        <v>8</v>
      </c>
      <c r="L14" s="5">
        <v>1.2742243192707725</v>
      </c>
      <c r="M14" s="6" t="s">
        <v>8</v>
      </c>
    </row>
    <row r="15" spans="1:13" ht="14.4" x14ac:dyDescent="0.25">
      <c r="A15" s="2" t="s">
        <v>27</v>
      </c>
      <c r="B15" s="5">
        <v>3.7316743149320919</v>
      </c>
      <c r="C15" s="6" t="s">
        <v>8</v>
      </c>
      <c r="D15" s="5">
        <v>2.6477176604375838</v>
      </c>
      <c r="E15" s="6" t="s">
        <v>8</v>
      </c>
      <c r="F15" s="5">
        <v>1.2673809939175535</v>
      </c>
      <c r="G15" s="6" t="s">
        <v>8</v>
      </c>
      <c r="H15" s="5">
        <v>0.86114824508821386</v>
      </c>
      <c r="I15" s="6" t="s">
        <v>8</v>
      </c>
      <c r="J15" s="5">
        <v>2.9480203261602513</v>
      </c>
      <c r="K15" s="6" t="s">
        <v>8</v>
      </c>
      <c r="L15" s="5">
        <v>1.7670991571405237</v>
      </c>
      <c r="M15" s="6" t="s">
        <v>8</v>
      </c>
    </row>
    <row r="16" spans="1:13" ht="14.4" x14ac:dyDescent="0.25">
      <c r="A16" s="7" t="s">
        <v>28</v>
      </c>
      <c r="B16" s="5">
        <v>3.7258066136001728</v>
      </c>
      <c r="C16" s="6" t="s">
        <v>8</v>
      </c>
      <c r="D16" s="5">
        <v>2.7515282128198426</v>
      </c>
      <c r="E16" s="6" t="s">
        <v>8</v>
      </c>
      <c r="F16" s="5">
        <v>1.3519828159687501</v>
      </c>
      <c r="G16" s="6" t="s">
        <v>8</v>
      </c>
      <c r="H16" s="5">
        <v>0.94281683397487814</v>
      </c>
      <c r="I16" s="6" t="s">
        <v>8</v>
      </c>
      <c r="J16" s="5">
        <v>2.9884062614945681</v>
      </c>
      <c r="K16" s="6" t="s">
        <v>8</v>
      </c>
      <c r="L16" s="5">
        <v>1.7238647163755729</v>
      </c>
      <c r="M16" s="6" t="s">
        <v>8</v>
      </c>
    </row>
    <row r="17" spans="1:13" ht="14.4" x14ac:dyDescent="0.25">
      <c r="A17" s="7" t="s">
        <v>29</v>
      </c>
      <c r="B17" s="5">
        <v>4.6689721371108872</v>
      </c>
      <c r="C17" s="6" t="s">
        <v>8</v>
      </c>
      <c r="D17" s="5">
        <v>3.2721460011805408</v>
      </c>
      <c r="E17" s="6" t="s">
        <v>8</v>
      </c>
      <c r="F17" s="5">
        <v>1.8950796885891661</v>
      </c>
      <c r="G17" s="6" t="s">
        <v>8</v>
      </c>
      <c r="H17" s="5">
        <v>1.2441861229256599</v>
      </c>
      <c r="I17" s="6" t="s">
        <v>8</v>
      </c>
      <c r="J17" s="5">
        <v>3.8775211689671938</v>
      </c>
      <c r="K17" s="6" t="s">
        <v>8</v>
      </c>
      <c r="L17" s="5">
        <v>2.2691069543717939</v>
      </c>
      <c r="M17" s="6" t="s">
        <v>8</v>
      </c>
    </row>
    <row r="18" spans="1:13" ht="14.4" x14ac:dyDescent="0.25">
      <c r="A18" s="7" t="s">
        <v>30</v>
      </c>
      <c r="B18" s="5">
        <v>3.1081043309032617</v>
      </c>
      <c r="C18" s="6" t="s">
        <v>8</v>
      </c>
      <c r="D18" s="5">
        <v>2.1623193617240983</v>
      </c>
      <c r="E18" s="6" t="s">
        <v>8</v>
      </c>
      <c r="F18" s="5">
        <v>0.89986187413019303</v>
      </c>
      <c r="G18" s="6" t="s">
        <v>8</v>
      </c>
      <c r="H18" s="5">
        <v>0.59621915480975007</v>
      </c>
      <c r="I18" s="6" t="s">
        <v>8</v>
      </c>
      <c r="J18" s="5">
        <v>2.0806048687912053</v>
      </c>
      <c r="K18" s="6" t="s">
        <v>8</v>
      </c>
      <c r="L18" s="5">
        <v>1.2759468129418958</v>
      </c>
      <c r="M18" s="6" t="s">
        <v>8</v>
      </c>
    </row>
    <row r="19" spans="1:13" ht="14.4" x14ac:dyDescent="0.25">
      <c r="A19" s="7" t="s">
        <v>31</v>
      </c>
      <c r="B19" s="5">
        <v>3.3165682953592825</v>
      </c>
      <c r="C19" s="6" t="s">
        <v>8</v>
      </c>
      <c r="D19" s="5">
        <v>2.1329531912413864</v>
      </c>
      <c r="E19" s="6" t="s">
        <v>8</v>
      </c>
      <c r="F19" s="5">
        <v>1.0348793532247063</v>
      </c>
      <c r="G19" s="6" t="s">
        <v>8</v>
      </c>
      <c r="H19" s="5">
        <v>0.62159684391096381</v>
      </c>
      <c r="I19" s="6" t="s">
        <v>8</v>
      </c>
      <c r="J19" s="5">
        <v>2.4041814077807397</v>
      </c>
      <c r="K19" s="6" t="s">
        <v>8</v>
      </c>
      <c r="L19" s="5">
        <v>1.3707586963246254</v>
      </c>
      <c r="M19" s="6" t="s">
        <v>8</v>
      </c>
    </row>
    <row r="20" spans="1:13" ht="14.4" x14ac:dyDescent="0.25">
      <c r="A20" s="7" t="s">
        <v>32</v>
      </c>
      <c r="B20" s="5">
        <v>3.005950793749391</v>
      </c>
      <c r="C20" s="6" t="s">
        <v>8</v>
      </c>
      <c r="D20" s="5">
        <v>2.5203243774764275</v>
      </c>
      <c r="E20" s="6" t="s">
        <v>8</v>
      </c>
      <c r="F20" s="5">
        <v>0.94093857575601136</v>
      </c>
      <c r="G20" s="6" t="s">
        <v>8</v>
      </c>
      <c r="H20" s="5">
        <v>0.8207437188704152</v>
      </c>
      <c r="I20" s="6" t="s">
        <v>8</v>
      </c>
      <c r="J20" s="5">
        <v>2.3968909029684333</v>
      </c>
      <c r="K20" s="6" t="s">
        <v>8</v>
      </c>
      <c r="L20" s="5">
        <v>1.6595470176891411</v>
      </c>
      <c r="M20" s="6" t="s">
        <v>8</v>
      </c>
    </row>
    <row r="21" spans="1:13" ht="14.4" x14ac:dyDescent="0.25">
      <c r="A21" s="7" t="s">
        <v>33</v>
      </c>
      <c r="B21" s="5">
        <v>4.4087429500609536</v>
      </c>
      <c r="C21" s="6" t="s">
        <v>8</v>
      </c>
      <c r="D21" s="5">
        <v>2.9772771405720593</v>
      </c>
      <c r="E21" s="6" t="s">
        <v>8</v>
      </c>
      <c r="F21" s="5">
        <v>1.3764778179322987</v>
      </c>
      <c r="G21" s="6" t="s">
        <v>8</v>
      </c>
      <c r="H21" s="5">
        <v>0.90965074097564858</v>
      </c>
      <c r="I21" s="6" t="s">
        <v>8</v>
      </c>
      <c r="J21" s="5">
        <v>3.5421552724827876</v>
      </c>
      <c r="K21" s="6" t="s">
        <v>8</v>
      </c>
      <c r="L21" s="5">
        <v>2.120854203001346</v>
      </c>
      <c r="M21" s="6" t="s">
        <v>8</v>
      </c>
    </row>
    <row r="22" spans="1:13" ht="14.4" x14ac:dyDescent="0.25">
      <c r="A22" s="7" t="s">
        <v>34</v>
      </c>
      <c r="B22" s="5">
        <v>1.2769355016663617</v>
      </c>
      <c r="C22" s="6" t="s">
        <v>8</v>
      </c>
      <c r="D22" s="5">
        <v>1.0301986845323563</v>
      </c>
      <c r="E22" s="6" t="s">
        <v>8</v>
      </c>
      <c r="F22" s="5">
        <v>0.24036449029969983</v>
      </c>
      <c r="G22" s="6" t="s">
        <v>8</v>
      </c>
      <c r="H22" s="5">
        <v>0.15640286729289773</v>
      </c>
      <c r="I22" s="6" t="s">
        <v>8</v>
      </c>
      <c r="J22" s="5">
        <v>0.81555374517888979</v>
      </c>
      <c r="K22" s="6" t="s">
        <v>8</v>
      </c>
      <c r="L22" s="5">
        <v>0.45868396239544629</v>
      </c>
      <c r="M22" s="6" t="s">
        <v>8</v>
      </c>
    </row>
    <row r="23" spans="1:13" ht="14.4" x14ac:dyDescent="0.25">
      <c r="A23" s="7" t="s">
        <v>35</v>
      </c>
      <c r="B23" s="5">
        <v>3.5716893693479763</v>
      </c>
      <c r="C23" s="6" t="s">
        <v>8</v>
      </c>
      <c r="D23" s="5">
        <v>2.3223143157745674</v>
      </c>
      <c r="E23" s="6" t="s">
        <v>8</v>
      </c>
      <c r="F23" s="5">
        <v>1.3649069519601083</v>
      </c>
      <c r="G23" s="6" t="s">
        <v>8</v>
      </c>
      <c r="H23" s="5">
        <v>0.85408596983200835</v>
      </c>
      <c r="I23" s="6" t="s">
        <v>8</v>
      </c>
      <c r="J23" s="5">
        <v>3.0912443895047219</v>
      </c>
      <c r="K23" s="6" t="s">
        <v>8</v>
      </c>
      <c r="L23" s="5">
        <v>1.8942726268534686</v>
      </c>
      <c r="M23" s="6" t="s">
        <v>8</v>
      </c>
    </row>
    <row r="24" spans="1:13" ht="14.4" x14ac:dyDescent="0.25">
      <c r="A24" s="2" t="s">
        <v>36</v>
      </c>
      <c r="B24" s="5">
        <v>1.4521594606108441</v>
      </c>
      <c r="C24" s="6" t="s">
        <v>8</v>
      </c>
      <c r="D24" s="5">
        <v>1.622771702193389</v>
      </c>
      <c r="E24" s="6" t="s">
        <v>8</v>
      </c>
      <c r="F24" s="5">
        <v>0.30892131535185163</v>
      </c>
      <c r="G24" s="6" t="s">
        <v>8</v>
      </c>
      <c r="H24" s="5">
        <v>0.46869241034294967</v>
      </c>
      <c r="I24" s="6" t="s">
        <v>8</v>
      </c>
      <c r="J24" s="5">
        <v>0.89481795053828794</v>
      </c>
      <c r="K24" s="6" t="s">
        <v>8</v>
      </c>
      <c r="L24" s="5">
        <v>0.83860823460582135</v>
      </c>
      <c r="M24" s="6" t="s">
        <v>8</v>
      </c>
    </row>
    <row r="25" spans="1:13" ht="14.4" x14ac:dyDescent="0.25">
      <c r="A25" s="7" t="s">
        <v>37</v>
      </c>
      <c r="B25" s="5">
        <v>0.8731479633097039</v>
      </c>
      <c r="C25" s="6" t="s">
        <v>8</v>
      </c>
      <c r="D25" s="5">
        <v>1.313447516339082</v>
      </c>
      <c r="E25" s="6" t="s">
        <v>8</v>
      </c>
      <c r="F25" s="5">
        <v>0.14949538478429669</v>
      </c>
      <c r="G25" s="6" t="s">
        <v>8</v>
      </c>
      <c r="H25" s="5">
        <v>0.42052195188256042</v>
      </c>
      <c r="I25" s="6" t="s">
        <v>8</v>
      </c>
      <c r="J25" s="5">
        <v>0.38503425459479912</v>
      </c>
      <c r="K25" s="6" t="s">
        <v>8</v>
      </c>
      <c r="L25" s="5">
        <v>0.71953658260344266</v>
      </c>
      <c r="M25" s="6" t="s">
        <v>8</v>
      </c>
    </row>
    <row r="26" spans="1:13" ht="14.4" x14ac:dyDescent="0.25">
      <c r="A26" s="7" t="s">
        <v>38</v>
      </c>
      <c r="B26" s="5">
        <v>0.91346939297330965</v>
      </c>
      <c r="C26" s="6" t="s">
        <v>8</v>
      </c>
      <c r="D26" s="5">
        <v>0.5628964016601522</v>
      </c>
      <c r="E26" s="6" t="s">
        <v>8</v>
      </c>
      <c r="F26" s="5">
        <v>-3.7797376323463264E-2</v>
      </c>
      <c r="G26" s="6" t="s">
        <v>8</v>
      </c>
      <c r="H26" s="5">
        <v>-2.4497158454505136E-2</v>
      </c>
      <c r="I26" s="6" t="s">
        <v>8</v>
      </c>
      <c r="J26" s="5">
        <v>0.69520468562670013</v>
      </c>
      <c r="K26" s="6" t="s">
        <v>8</v>
      </c>
      <c r="L26" s="5">
        <v>0.18573196672835157</v>
      </c>
      <c r="M26" s="6" t="s">
        <v>8</v>
      </c>
    </row>
    <row r="27" spans="1:13" ht="14.4" x14ac:dyDescent="0.25">
      <c r="A27" s="7" t="s">
        <v>39</v>
      </c>
      <c r="B27" s="5">
        <v>1.6127910983427793</v>
      </c>
      <c r="C27" s="6" t="s">
        <v>8</v>
      </c>
      <c r="D27" s="5">
        <v>1.882604415138486</v>
      </c>
      <c r="E27" s="6" t="s">
        <v>8</v>
      </c>
      <c r="F27" s="5">
        <v>0.32996216151036434</v>
      </c>
      <c r="G27" s="6" t="s">
        <v>8</v>
      </c>
      <c r="H27" s="5">
        <v>0.47045748779460644</v>
      </c>
      <c r="I27" s="6" t="s">
        <v>8</v>
      </c>
      <c r="J27" s="5">
        <v>0.77676377545117681</v>
      </c>
      <c r="K27" s="6" t="s">
        <v>8</v>
      </c>
      <c r="L27" s="5">
        <v>0.88175324056423943</v>
      </c>
      <c r="M27" s="6" t="s">
        <v>8</v>
      </c>
    </row>
    <row r="28" spans="1:13" ht="14.4" x14ac:dyDescent="0.25">
      <c r="A28" s="2" t="s">
        <v>40</v>
      </c>
      <c r="B28" s="5">
        <v>1.3007418888072286</v>
      </c>
      <c r="C28" s="6" t="s">
        <v>8</v>
      </c>
      <c r="D28" s="5">
        <v>1.2956358170138087</v>
      </c>
      <c r="E28" s="6" t="s">
        <v>8</v>
      </c>
      <c r="F28" s="5">
        <v>0.38018411082192255</v>
      </c>
      <c r="G28" s="6" t="s">
        <v>8</v>
      </c>
      <c r="H28" s="5">
        <v>0.41734012630042133</v>
      </c>
      <c r="I28" s="6" t="s">
        <v>8</v>
      </c>
      <c r="J28" s="5">
        <v>0.60936025388087478</v>
      </c>
      <c r="K28" s="6" t="s">
        <v>8</v>
      </c>
      <c r="L28" s="5">
        <v>0.86759536456935515</v>
      </c>
      <c r="M28" s="6" t="s">
        <v>8</v>
      </c>
    </row>
    <row r="29" spans="1:13" ht="14.4" x14ac:dyDescent="0.25">
      <c r="A29" s="7" t="s">
        <v>41</v>
      </c>
      <c r="B29" s="5">
        <v>0.94245425549579698</v>
      </c>
      <c r="C29" s="6" t="s">
        <v>8</v>
      </c>
      <c r="D29" s="5">
        <v>1.0924340182877521</v>
      </c>
      <c r="E29" s="6" t="s">
        <v>8</v>
      </c>
      <c r="F29" s="5">
        <v>0.14723359740709949</v>
      </c>
      <c r="G29" s="6" t="s">
        <v>8</v>
      </c>
      <c r="H29" s="5">
        <v>0.31159723526880717</v>
      </c>
      <c r="I29" s="6" t="s">
        <v>8</v>
      </c>
      <c r="J29" s="5">
        <v>0.29754799445728991</v>
      </c>
      <c r="K29" s="6" t="s">
        <v>8</v>
      </c>
      <c r="L29" s="5">
        <v>0.56723517812175961</v>
      </c>
      <c r="M29" s="6" t="s">
        <v>8</v>
      </c>
    </row>
    <row r="30" spans="1:13" ht="14.4" x14ac:dyDescent="0.25">
      <c r="A30" s="7" t="s">
        <v>42</v>
      </c>
      <c r="B30" s="5">
        <v>2.1524751368237478</v>
      </c>
      <c r="C30" s="6" t="s">
        <v>8</v>
      </c>
      <c r="D30" s="5">
        <v>1.6557182423714059</v>
      </c>
      <c r="E30" s="6" t="s">
        <v>8</v>
      </c>
      <c r="F30" s="5">
        <v>0.76171814971829233</v>
      </c>
      <c r="G30" s="6" t="s">
        <v>8</v>
      </c>
      <c r="H30" s="5">
        <v>0.52690768342352134</v>
      </c>
      <c r="I30" s="6" t="s">
        <v>8</v>
      </c>
      <c r="J30" s="5">
        <v>0.98228183234264987</v>
      </c>
      <c r="K30" s="6" t="s">
        <v>8</v>
      </c>
      <c r="L30" s="5">
        <v>1.1531533570969996</v>
      </c>
      <c r="M30" s="6" t="s">
        <v>8</v>
      </c>
    </row>
    <row r="31" spans="1:13" ht="14.4" x14ac:dyDescent="0.25">
      <c r="A31" s="7" t="s">
        <v>43</v>
      </c>
      <c r="B31" s="5">
        <v>0.80194187810921336</v>
      </c>
      <c r="C31" s="6" t="s">
        <v>8</v>
      </c>
      <c r="D31" s="5">
        <v>0.94256971943718915</v>
      </c>
      <c r="E31" s="6" t="s">
        <v>8</v>
      </c>
      <c r="F31" s="5">
        <v>0.12670183182748479</v>
      </c>
      <c r="G31" s="6" t="s">
        <v>8</v>
      </c>
      <c r="H31" s="5">
        <v>0.28792215206296962</v>
      </c>
      <c r="I31" s="6" t="s">
        <v>8</v>
      </c>
      <c r="J31" s="5">
        <v>0.62615357826919615</v>
      </c>
      <c r="K31" s="6" t="s">
        <v>8</v>
      </c>
      <c r="L31" s="5">
        <v>0.55459936575052771</v>
      </c>
      <c r="M31" s="6" t="s">
        <v>8</v>
      </c>
    </row>
    <row r="32" spans="1:13" ht="14.4" x14ac:dyDescent="0.25">
      <c r="A32" s="7" t="s">
        <v>44</v>
      </c>
      <c r="B32" s="5">
        <v>0.86606228935854168</v>
      </c>
      <c r="C32" s="6">
        <v>1.1000000000000001E-3</v>
      </c>
      <c r="D32" s="5">
        <v>1.1041378060587861</v>
      </c>
      <c r="E32" s="6">
        <v>3.2399999999999998E-2</v>
      </c>
      <c r="F32" s="5">
        <v>0.26443338463338789</v>
      </c>
      <c r="G32" s="6" t="s">
        <v>8</v>
      </c>
      <c r="H32" s="5">
        <v>0.41569497525633997</v>
      </c>
      <c r="I32" s="6" t="s">
        <v>8</v>
      </c>
      <c r="J32" s="5">
        <v>0.33623034542685082</v>
      </c>
      <c r="K32" s="6" t="s">
        <v>8</v>
      </c>
      <c r="L32" s="5">
        <v>0.78120241652591893</v>
      </c>
      <c r="M32" s="6" t="s">
        <v>8</v>
      </c>
    </row>
    <row r="33" spans="1:13" ht="14.4" x14ac:dyDescent="0.25">
      <c r="A33" s="9" t="s">
        <v>45</v>
      </c>
      <c r="B33" s="5">
        <v>2.0302087994422497</v>
      </c>
      <c r="C33" s="6" t="s">
        <v>8</v>
      </c>
      <c r="D33" s="5">
        <v>1.710351723191045</v>
      </c>
      <c r="E33" s="6" t="s">
        <v>8</v>
      </c>
      <c r="F33" s="5">
        <v>0.66785187279968272</v>
      </c>
      <c r="G33" s="6" t="s">
        <v>8</v>
      </c>
      <c r="H33" s="5">
        <v>0.54595762933280867</v>
      </c>
      <c r="I33" s="6" t="s">
        <v>8</v>
      </c>
      <c r="J33" s="5">
        <v>1.7327169065555852</v>
      </c>
      <c r="K33" s="6" t="s">
        <v>8</v>
      </c>
      <c r="L33" s="5">
        <v>1.1914205163791982</v>
      </c>
      <c r="M33" s="6" t="s">
        <v>8</v>
      </c>
    </row>
    <row r="34" spans="1:13" ht="14.4" x14ac:dyDescent="0.25">
      <c r="A34" s="10" t="s">
        <v>46</v>
      </c>
      <c r="B34" s="5">
        <v>2.547388454149039</v>
      </c>
      <c r="C34" s="6" t="s">
        <v>8</v>
      </c>
      <c r="D34" s="5">
        <v>1.7748082085733003</v>
      </c>
      <c r="E34" s="6" t="s">
        <v>8</v>
      </c>
      <c r="F34" s="5">
        <v>0.81789350400540972</v>
      </c>
      <c r="G34" s="6" t="s">
        <v>8</v>
      </c>
      <c r="H34" s="5">
        <v>0.56388569397744026</v>
      </c>
      <c r="I34" s="6" t="s">
        <v>8</v>
      </c>
      <c r="J34" s="5">
        <v>2.0315869490100655</v>
      </c>
      <c r="K34" s="6" t="s">
        <v>8</v>
      </c>
      <c r="L34" s="5">
        <v>1.2166573835331809</v>
      </c>
      <c r="M34" s="6" t="s">
        <v>8</v>
      </c>
    </row>
    <row r="35" spans="1:13" ht="14.4" x14ac:dyDescent="0.25">
      <c r="A35" s="10" t="s">
        <v>47</v>
      </c>
      <c r="B35" s="5">
        <v>2.8166129450708168</v>
      </c>
      <c r="C35" s="6" t="s">
        <v>8</v>
      </c>
      <c r="D35" s="5">
        <v>2.1946769111506126</v>
      </c>
      <c r="E35" s="6" t="s">
        <v>8</v>
      </c>
      <c r="F35" s="5">
        <v>0.92803278896656449</v>
      </c>
      <c r="G35" s="6" t="s">
        <v>8</v>
      </c>
      <c r="H35" s="5">
        <v>0.70071219085234293</v>
      </c>
      <c r="I35" s="6" t="s">
        <v>8</v>
      </c>
      <c r="J35" s="5">
        <v>2.2145463391174647</v>
      </c>
      <c r="K35" s="6" t="s">
        <v>8</v>
      </c>
      <c r="L35" s="5">
        <v>1.4506906466487401</v>
      </c>
      <c r="M35" s="6" t="s">
        <v>8</v>
      </c>
    </row>
    <row r="36" spans="1:13" ht="14.4" x14ac:dyDescent="0.25">
      <c r="A36" s="10" t="s">
        <v>48</v>
      </c>
      <c r="B36" s="5">
        <v>1.1819221040414698</v>
      </c>
      <c r="C36" s="6" t="s">
        <v>8</v>
      </c>
      <c r="D36" s="5">
        <v>1.1659759202934989</v>
      </c>
      <c r="E36" s="6" t="s">
        <v>8</v>
      </c>
      <c r="F36" s="5">
        <v>0.39939022816812325</v>
      </c>
      <c r="G36" s="6" t="s">
        <v>8</v>
      </c>
      <c r="H36" s="5">
        <v>0.37880074522803742</v>
      </c>
      <c r="I36" s="6" t="s">
        <v>8</v>
      </c>
      <c r="J36" s="5">
        <v>1.1146854250643081</v>
      </c>
      <c r="K36" s="6" t="s">
        <v>8</v>
      </c>
      <c r="L36" s="5">
        <v>0.83511365294703976</v>
      </c>
      <c r="M36" s="6" t="s">
        <v>8</v>
      </c>
    </row>
    <row r="37" spans="1:13" ht="14.4" x14ac:dyDescent="0.25">
      <c r="A37" s="2" t="s">
        <v>49</v>
      </c>
      <c r="B37" s="5">
        <v>3.1719020042700525</v>
      </c>
      <c r="C37" s="6" t="s">
        <v>8</v>
      </c>
      <c r="D37" s="5">
        <v>2.2887432159891388</v>
      </c>
      <c r="E37" s="6" t="s">
        <v>8</v>
      </c>
      <c r="F37" s="5">
        <v>1.185816992600079</v>
      </c>
      <c r="G37" s="6" t="s">
        <v>8</v>
      </c>
      <c r="H37" s="5">
        <v>0.86113511953984767</v>
      </c>
      <c r="I37" s="6" t="s">
        <v>8</v>
      </c>
      <c r="J37" s="5">
        <v>3.071930812031137</v>
      </c>
      <c r="K37" s="6" t="s">
        <v>8</v>
      </c>
      <c r="L37" s="5">
        <v>1.909514361418911</v>
      </c>
      <c r="M37" s="6" t="s">
        <v>8</v>
      </c>
    </row>
    <row r="38" spans="1:13" ht="14.4" x14ac:dyDescent="0.25">
      <c r="A38" s="7" t="s">
        <v>50</v>
      </c>
      <c r="B38" s="5">
        <v>3.2886210909999778</v>
      </c>
      <c r="C38" s="6" t="s">
        <v>8</v>
      </c>
      <c r="D38" s="5">
        <v>2.2293819436679247</v>
      </c>
      <c r="E38" s="6" t="s">
        <v>8</v>
      </c>
      <c r="F38" s="5">
        <v>1.2709048263133584</v>
      </c>
      <c r="G38" s="6" t="s">
        <v>8</v>
      </c>
      <c r="H38" s="5">
        <v>0.85419322577732737</v>
      </c>
      <c r="I38" s="6" t="s">
        <v>8</v>
      </c>
      <c r="J38" s="5">
        <v>3.4885746502307611</v>
      </c>
      <c r="K38" s="6" t="s">
        <v>8</v>
      </c>
      <c r="L38" s="5">
        <v>2.0253362307408116</v>
      </c>
      <c r="M38" s="6" t="s">
        <v>8</v>
      </c>
    </row>
    <row r="39" spans="1:13" ht="14.4" x14ac:dyDescent="0.25">
      <c r="A39" s="7" t="s">
        <v>51</v>
      </c>
      <c r="B39" s="5">
        <v>4.4628218523309773</v>
      </c>
      <c r="C39" s="6" t="s">
        <v>8</v>
      </c>
      <c r="D39" s="5">
        <v>3.4951269333336912</v>
      </c>
      <c r="E39" s="6" t="s">
        <v>8</v>
      </c>
      <c r="F39" s="5">
        <v>1.6621673397170549</v>
      </c>
      <c r="G39" s="6" t="s">
        <v>8</v>
      </c>
      <c r="H39" s="5">
        <v>1.3027112846830402</v>
      </c>
      <c r="I39" s="6" t="s">
        <v>8</v>
      </c>
      <c r="J39" s="5">
        <v>4.3109996109855917</v>
      </c>
      <c r="K39" s="6" t="s">
        <v>8</v>
      </c>
      <c r="L39" s="5">
        <v>2.7592753307288627</v>
      </c>
      <c r="M39" s="6" t="s">
        <v>8</v>
      </c>
    </row>
    <row r="40" spans="1:13" ht="14.4" x14ac:dyDescent="0.25">
      <c r="A40" s="7" t="s">
        <v>52</v>
      </c>
      <c r="B40" s="5">
        <v>2.4150729071807349</v>
      </c>
      <c r="C40" s="6" t="s">
        <v>8</v>
      </c>
      <c r="D40" s="5">
        <v>1.6757762339603419</v>
      </c>
      <c r="E40" s="6" t="s">
        <v>8</v>
      </c>
      <c r="F40" s="5">
        <v>0.90731485436300796</v>
      </c>
      <c r="G40" s="6" t="s">
        <v>8</v>
      </c>
      <c r="H40" s="5">
        <v>0.63328258140165894</v>
      </c>
      <c r="I40" s="6" t="s">
        <v>8</v>
      </c>
      <c r="J40" s="5">
        <v>1.8819541559759769</v>
      </c>
      <c r="K40" s="6" t="s">
        <v>8</v>
      </c>
      <c r="L40" s="5">
        <v>1.193145229690542</v>
      </c>
      <c r="M40" s="6" t="s">
        <v>8</v>
      </c>
    </row>
    <row r="41" spans="1:13" ht="14.4" x14ac:dyDescent="0.25">
      <c r="A41" s="7" t="s">
        <v>53</v>
      </c>
      <c r="B41" s="5">
        <v>2.2412992975853983</v>
      </c>
      <c r="C41" s="6" t="s">
        <v>8</v>
      </c>
      <c r="D41" s="5">
        <v>1.5716450454453308</v>
      </c>
      <c r="E41" s="6" t="s">
        <v>8</v>
      </c>
      <c r="F41" s="5">
        <v>0.81587547899296586</v>
      </c>
      <c r="G41" s="6" t="s">
        <v>8</v>
      </c>
      <c r="H41" s="5">
        <v>0.54884797828886567</v>
      </c>
      <c r="I41" s="6" t="s">
        <v>8</v>
      </c>
      <c r="J41" s="5">
        <v>1.5581236714753637</v>
      </c>
      <c r="K41" s="6" t="s">
        <v>8</v>
      </c>
      <c r="L41" s="5">
        <v>1.1006236274565004</v>
      </c>
      <c r="M41" s="6" t="s">
        <v>8</v>
      </c>
    </row>
    <row r="42" spans="1:13" ht="14.4" x14ac:dyDescent="0.25">
      <c r="A42" s="7" t="s">
        <v>54</v>
      </c>
      <c r="B42" s="5">
        <v>2.2954945766790669</v>
      </c>
      <c r="C42" s="6" t="s">
        <v>8</v>
      </c>
      <c r="D42" s="5">
        <v>1.6164732999018165</v>
      </c>
      <c r="E42" s="6" t="s">
        <v>8</v>
      </c>
      <c r="F42" s="5">
        <v>0.83287956446534661</v>
      </c>
      <c r="G42" s="6" t="s">
        <v>8</v>
      </c>
      <c r="H42" s="5">
        <v>0.60650600324066661</v>
      </c>
      <c r="I42" s="6" t="s">
        <v>8</v>
      </c>
      <c r="J42" s="5">
        <v>2.1847061620289243</v>
      </c>
      <c r="K42" s="6" t="s">
        <v>8</v>
      </c>
      <c r="L42" s="5">
        <v>1.6382446429599351</v>
      </c>
      <c r="M42" s="6" t="s">
        <v>8</v>
      </c>
    </row>
    <row r="43" spans="1:13" ht="14.4" x14ac:dyDescent="0.25">
      <c r="A43" s="7" t="s">
        <v>55</v>
      </c>
      <c r="B43" s="5">
        <v>1.5247179542455813</v>
      </c>
      <c r="C43" s="6" t="s">
        <v>8</v>
      </c>
      <c r="D43" s="5">
        <v>1.0274570114390773</v>
      </c>
      <c r="E43" s="6" t="s">
        <v>8</v>
      </c>
      <c r="F43" s="5">
        <v>0.55235319514031056</v>
      </c>
      <c r="G43" s="6" t="s">
        <v>8</v>
      </c>
      <c r="H43" s="5">
        <v>0.28167753598055262</v>
      </c>
      <c r="I43" s="6" t="s">
        <v>8</v>
      </c>
      <c r="J43" s="5">
        <v>1.8981110722106409</v>
      </c>
      <c r="K43" s="6" t="s">
        <v>8</v>
      </c>
      <c r="L43" s="5">
        <v>0.73468570488650475</v>
      </c>
      <c r="M43" s="6" t="s">
        <v>8</v>
      </c>
    </row>
    <row r="44" spans="1:13" ht="14.4" x14ac:dyDescent="0.25">
      <c r="A44" s="7" t="s">
        <v>56</v>
      </c>
      <c r="B44" s="5">
        <v>1.1946930344858573</v>
      </c>
      <c r="C44" s="6" t="s">
        <v>8</v>
      </c>
      <c r="D44" s="5">
        <v>0.83618862642324887</v>
      </c>
      <c r="E44" s="6" t="s">
        <v>8</v>
      </c>
      <c r="F44" s="5">
        <v>0.36367844067162092</v>
      </c>
      <c r="G44" s="6" t="s">
        <v>8</v>
      </c>
      <c r="H44" s="5">
        <v>0.31287161767406108</v>
      </c>
      <c r="I44" s="6" t="s">
        <v>8</v>
      </c>
      <c r="J44" s="5">
        <v>0.57579027507086644</v>
      </c>
      <c r="K44" s="6" t="s">
        <v>8</v>
      </c>
      <c r="L44" s="5">
        <v>0.73082925336597238</v>
      </c>
      <c r="M44" s="6" t="s">
        <v>8</v>
      </c>
    </row>
    <row r="45" spans="1:13" ht="14.4" x14ac:dyDescent="0.25">
      <c r="A45" s="2" t="s">
        <v>57</v>
      </c>
      <c r="B45" s="5">
        <v>-0.17349125416443387</v>
      </c>
      <c r="C45" s="11">
        <v>2.8000000000000001E-2</v>
      </c>
      <c r="D45" s="5">
        <v>-0.20950725980846452</v>
      </c>
      <c r="E45" s="6">
        <v>0.37780000000000002</v>
      </c>
      <c r="F45" s="5">
        <v>-0.28967297088472438</v>
      </c>
      <c r="G45" s="6">
        <v>0.30009999999999998</v>
      </c>
      <c r="H45" s="5">
        <v>-0.26675520668146713</v>
      </c>
      <c r="I45" s="6">
        <v>0.93289999999999995</v>
      </c>
      <c r="J45" s="5">
        <v>-0.30538472981216397</v>
      </c>
      <c r="K45" s="6">
        <v>0.74719999999999998</v>
      </c>
      <c r="L45" s="5">
        <v>-0.32575500645994815</v>
      </c>
      <c r="M45" s="6">
        <v>0.99539999999999995</v>
      </c>
    </row>
    <row r="46" spans="1:13" ht="14.4" x14ac:dyDescent="0.25">
      <c r="A46" s="2" t="s">
        <v>58</v>
      </c>
      <c r="B46" s="5">
        <v>2.6369087797450326</v>
      </c>
      <c r="C46" s="6" t="s">
        <v>8</v>
      </c>
      <c r="D46" s="5">
        <v>2.345148076999338</v>
      </c>
      <c r="E46" s="6" t="s">
        <v>8</v>
      </c>
      <c r="F46" s="5">
        <v>0.77304737814246272</v>
      </c>
      <c r="G46" s="6" t="s">
        <v>8</v>
      </c>
      <c r="H46" s="5">
        <v>0.59685112069996393</v>
      </c>
      <c r="I46" s="6" t="s">
        <v>8</v>
      </c>
      <c r="J46" s="5">
        <v>2.0128071701620103</v>
      </c>
      <c r="K46" s="6" t="s">
        <v>8</v>
      </c>
      <c r="L46" s="5">
        <v>1.300397401404477</v>
      </c>
      <c r="M46" s="6" t="s">
        <v>8</v>
      </c>
    </row>
    <row r="47" spans="1:13" ht="14.4" x14ac:dyDescent="0.25">
      <c r="A47" s="2" t="s">
        <v>59</v>
      </c>
      <c r="B47" s="5">
        <v>1.3125484671043557</v>
      </c>
      <c r="C47" s="6" t="s">
        <v>8</v>
      </c>
      <c r="D47" s="5">
        <v>0.98442783832512581</v>
      </c>
      <c r="E47" s="6" t="s">
        <v>8</v>
      </c>
      <c r="F47" s="5">
        <v>0.24209073648217799</v>
      </c>
      <c r="G47" s="6" t="s">
        <v>8</v>
      </c>
      <c r="H47" s="5">
        <v>0.14872110277834458</v>
      </c>
      <c r="I47" s="6" t="s">
        <v>8</v>
      </c>
      <c r="J47" s="5">
        <v>0.99112147211501689</v>
      </c>
      <c r="K47" s="6" t="s">
        <v>8</v>
      </c>
      <c r="L47" s="5">
        <v>0.63646913270282479</v>
      </c>
      <c r="M47" s="6" t="s">
        <v>8</v>
      </c>
    </row>
    <row r="48" spans="1:13" ht="14.4" x14ac:dyDescent="0.25">
      <c r="A48" s="2" t="s">
        <v>60</v>
      </c>
      <c r="B48" s="5">
        <v>-0.90051258196073702</v>
      </c>
      <c r="C48" s="6">
        <v>0.23039999999999999</v>
      </c>
      <c r="D48" s="5">
        <v>-0.61027264473908194</v>
      </c>
      <c r="E48" s="6" t="s">
        <v>8</v>
      </c>
      <c r="F48" s="5">
        <v>-0.82597903842000753</v>
      </c>
      <c r="G48" s="6">
        <v>0.43280000000000002</v>
      </c>
      <c r="H48" s="5">
        <v>-0.59204450571855771</v>
      </c>
      <c r="I48" s="6">
        <v>7.6E-3</v>
      </c>
      <c r="J48" s="5">
        <v>-0.95900453164027233</v>
      </c>
      <c r="K48" s="6">
        <v>0.37230000000000002</v>
      </c>
      <c r="L48" s="5">
        <v>-0.52061580446131939</v>
      </c>
      <c r="M48" s="6">
        <v>5.9700000000000003E-2</v>
      </c>
    </row>
  </sheetData>
  <mergeCells count="3">
    <mergeCell ref="B1:E1"/>
    <mergeCell ref="F1:I1"/>
    <mergeCell ref="J1:M1"/>
  </mergeCells>
  <phoneticPr fontId="5" type="noConversion"/>
  <conditionalFormatting sqref="B3:B48">
    <cfRule type="top10" dxfId="11" priority="39" bottom="1" rank="3"/>
    <cfRule type="top10" dxfId="10" priority="40" rank="3"/>
  </conditionalFormatting>
  <conditionalFormatting sqref="D3:D48">
    <cfRule type="top10" dxfId="9" priority="43" bottom="1" rank="3"/>
    <cfRule type="top10" dxfId="8" priority="44" rank="3"/>
  </conditionalFormatting>
  <conditionalFormatting sqref="F3:F48">
    <cfRule type="top10" dxfId="7" priority="47" bottom="1" rank="3"/>
    <cfRule type="top10" dxfId="6" priority="48" rank="3"/>
  </conditionalFormatting>
  <conditionalFormatting sqref="H3:H48">
    <cfRule type="top10" dxfId="5" priority="51" bottom="1" rank="3"/>
    <cfRule type="top10" dxfId="4" priority="52" rank="3"/>
  </conditionalFormatting>
  <conditionalFormatting sqref="J3:J48">
    <cfRule type="top10" dxfId="3" priority="55" bottom="1" rank="3"/>
    <cfRule type="top10" dxfId="2" priority="56" rank="3"/>
  </conditionalFormatting>
  <conditionalFormatting sqref="L3:L48">
    <cfRule type="top10" dxfId="1" priority="59" bottom="1" rank="3"/>
    <cfRule type="top10" dxfId="0" priority="60" rank="3"/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8C90-A769-4EF6-9972-41E0C2AB9500}">
  <dimension ref="A1:O51"/>
  <sheetViews>
    <sheetView tabSelected="1" topLeftCell="A16" workbookViewId="0">
      <selection activeCell="O26" sqref="O26"/>
    </sheetView>
  </sheetViews>
  <sheetFormatPr defaultRowHeight="13.8" x14ac:dyDescent="0.25"/>
  <sheetData>
    <row r="1" spans="1:15" x14ac:dyDescent="0.25">
      <c r="A1" s="15"/>
      <c r="B1" s="16" t="s">
        <v>0</v>
      </c>
      <c r="C1" s="16"/>
      <c r="D1" s="16"/>
      <c r="E1" s="16"/>
      <c r="F1" s="16" t="s">
        <v>1</v>
      </c>
      <c r="G1" s="16"/>
      <c r="H1" s="16"/>
      <c r="I1" s="16"/>
      <c r="J1" s="16" t="s">
        <v>2</v>
      </c>
      <c r="K1" s="16"/>
      <c r="L1" s="16"/>
      <c r="M1" s="16"/>
    </row>
    <row r="2" spans="1:15" x14ac:dyDescent="0.25">
      <c r="A2" s="15" t="s">
        <v>3</v>
      </c>
      <c r="B2" s="17" t="s">
        <v>4</v>
      </c>
      <c r="C2" s="18" t="s">
        <v>5</v>
      </c>
      <c r="D2" s="17" t="s">
        <v>6</v>
      </c>
      <c r="E2" s="18" t="s">
        <v>5</v>
      </c>
      <c r="F2" s="17" t="s">
        <v>4</v>
      </c>
      <c r="G2" s="18" t="s">
        <v>5</v>
      </c>
      <c r="H2" s="17" t="s">
        <v>6</v>
      </c>
      <c r="I2" s="18" t="s">
        <v>5</v>
      </c>
      <c r="J2" s="17" t="s">
        <v>4</v>
      </c>
      <c r="K2" s="18" t="s">
        <v>5</v>
      </c>
      <c r="L2" s="17" t="s">
        <v>6</v>
      </c>
      <c r="M2" s="18" t="s">
        <v>5</v>
      </c>
    </row>
    <row r="3" spans="1:15" x14ac:dyDescent="0.25">
      <c r="A3" s="15" t="s">
        <v>7</v>
      </c>
      <c r="B3" s="19">
        <v>2.5880770566425002</v>
      </c>
      <c r="C3" s="20" t="s">
        <v>8</v>
      </c>
      <c r="D3" s="19">
        <v>1.9677016385794344</v>
      </c>
      <c r="E3" s="20" t="s">
        <v>8</v>
      </c>
      <c r="F3" s="19">
        <v>0.80543569505425505</v>
      </c>
      <c r="G3" s="20" t="s">
        <v>8</v>
      </c>
      <c r="H3" s="19">
        <v>0.56804037519274708</v>
      </c>
      <c r="I3" s="20" t="s">
        <v>8</v>
      </c>
      <c r="J3" s="19">
        <v>1.82030649030792</v>
      </c>
      <c r="K3" s="20" t="s">
        <v>8</v>
      </c>
      <c r="L3" s="19">
        <v>1.11838646818298</v>
      </c>
      <c r="M3" s="20" t="s">
        <v>8</v>
      </c>
    </row>
    <row r="4" spans="1:15" x14ac:dyDescent="0.25">
      <c r="A4" s="20" t="s">
        <v>9</v>
      </c>
      <c r="B4" s="19">
        <v>2.3619260608371828</v>
      </c>
      <c r="C4" s="20" t="s">
        <v>8</v>
      </c>
      <c r="D4" s="19">
        <v>1.5754781602247117</v>
      </c>
      <c r="E4" s="20" t="s">
        <v>8</v>
      </c>
      <c r="F4" s="19">
        <v>0.71923424621475751</v>
      </c>
      <c r="G4" s="20" t="s">
        <v>8</v>
      </c>
      <c r="H4" s="19">
        <v>0.39600092653745683</v>
      </c>
      <c r="I4" s="20" t="s">
        <v>8</v>
      </c>
      <c r="J4" s="19">
        <v>1.6451404185026544</v>
      </c>
      <c r="K4" s="20" t="s">
        <v>8</v>
      </c>
      <c r="L4" s="19">
        <v>0.7741662372834488</v>
      </c>
      <c r="M4" s="20" t="s">
        <v>8</v>
      </c>
    </row>
    <row r="5" spans="1:15" x14ac:dyDescent="0.25">
      <c r="A5" s="20" t="s">
        <v>10</v>
      </c>
      <c r="B5" s="19">
        <v>2.7673820701794316</v>
      </c>
      <c r="C5" s="20" t="s">
        <v>8</v>
      </c>
      <c r="D5" s="19">
        <v>2.2674439570246796</v>
      </c>
      <c r="E5" s="20" t="s">
        <v>8</v>
      </c>
      <c r="F5" s="19">
        <v>0.74023176467738272</v>
      </c>
      <c r="G5" s="20" t="s">
        <v>8</v>
      </c>
      <c r="H5" s="19">
        <v>0.64960620220601228</v>
      </c>
      <c r="I5" s="20" t="s">
        <v>8</v>
      </c>
      <c r="J5" s="19">
        <v>1.8883985377819783</v>
      </c>
      <c r="K5" s="20" t="s">
        <v>8</v>
      </c>
      <c r="L5" s="19">
        <v>1.3227667527993108</v>
      </c>
      <c r="M5" s="20" t="s">
        <v>8</v>
      </c>
    </row>
    <row r="6" spans="1:15" ht="14.4" x14ac:dyDescent="0.25">
      <c r="A6" s="20" t="s">
        <v>11</v>
      </c>
      <c r="B6" s="19">
        <v>4.0405546518669323E-2</v>
      </c>
      <c r="C6" s="20" t="s">
        <v>8</v>
      </c>
      <c r="D6" s="19">
        <v>5.1483561355092328E-2</v>
      </c>
      <c r="E6" s="20" t="s">
        <v>8</v>
      </c>
      <c r="F6" s="19">
        <v>-3.3070632392988512E-2</v>
      </c>
      <c r="G6" s="20" t="s">
        <v>8</v>
      </c>
      <c r="H6" s="19">
        <v>-3.7429898439151336E-2</v>
      </c>
      <c r="I6" s="20" t="s">
        <v>8</v>
      </c>
      <c r="J6" s="19">
        <v>0.3813741409454664</v>
      </c>
      <c r="K6" s="20" t="s">
        <v>8</v>
      </c>
      <c r="L6" s="19">
        <v>0.23254905419066071</v>
      </c>
      <c r="M6" s="20" t="s">
        <v>8</v>
      </c>
      <c r="O6" s="5"/>
    </row>
    <row r="7" spans="1:15" ht="14.4" x14ac:dyDescent="0.25">
      <c r="A7" s="20" t="s">
        <v>12</v>
      </c>
      <c r="B7" s="19">
        <v>2.6943487058057047</v>
      </c>
      <c r="C7" s="20" t="s">
        <v>8</v>
      </c>
      <c r="D7" s="19">
        <v>2.1050842100470057</v>
      </c>
      <c r="E7" s="20" t="s">
        <v>8</v>
      </c>
      <c r="F7" s="19">
        <v>0.89453646302392675</v>
      </c>
      <c r="G7" s="20" t="s">
        <v>8</v>
      </c>
      <c r="H7" s="19">
        <v>0.64418019848034702</v>
      </c>
      <c r="I7" s="20" t="s">
        <v>8</v>
      </c>
      <c r="J7" s="19">
        <v>1.9062382938466893</v>
      </c>
      <c r="K7" s="20" t="s">
        <v>8</v>
      </c>
      <c r="L7" s="19">
        <v>1.2257834554742184</v>
      </c>
      <c r="M7" s="20" t="s">
        <v>8</v>
      </c>
      <c r="O7" s="5"/>
    </row>
    <row r="8" spans="1:15" ht="14.4" x14ac:dyDescent="0.25">
      <c r="A8" s="15" t="s">
        <v>17</v>
      </c>
      <c r="B8" s="19">
        <v>2.3911998154951384</v>
      </c>
      <c r="C8" s="20" t="s">
        <v>8</v>
      </c>
      <c r="D8" s="19">
        <v>1.7258089587365564</v>
      </c>
      <c r="E8" s="20" t="s">
        <v>8</v>
      </c>
      <c r="F8" s="19">
        <v>0.7792246254419507</v>
      </c>
      <c r="G8" s="20" t="s">
        <v>8</v>
      </c>
      <c r="H8" s="19">
        <v>0.55466108034431727</v>
      </c>
      <c r="I8" s="20" t="s">
        <v>8</v>
      </c>
      <c r="J8" s="19">
        <v>1.7570366193461069</v>
      </c>
      <c r="K8" s="20" t="s">
        <v>8</v>
      </c>
      <c r="L8" s="19">
        <v>1.0627365260448696</v>
      </c>
      <c r="M8" s="20" t="s">
        <v>8</v>
      </c>
      <c r="O8" s="5"/>
    </row>
    <row r="9" spans="1:15" ht="14.4" x14ac:dyDescent="0.25">
      <c r="A9" s="20" t="s">
        <v>18</v>
      </c>
      <c r="B9" s="19">
        <v>1.4346000442185971</v>
      </c>
      <c r="C9" s="20" t="s">
        <v>8</v>
      </c>
      <c r="D9" s="19">
        <v>1.0229377623574543</v>
      </c>
      <c r="E9" s="20" t="s">
        <v>8</v>
      </c>
      <c r="F9" s="19">
        <v>0.46946011483903499</v>
      </c>
      <c r="G9" s="20" t="s">
        <v>8</v>
      </c>
      <c r="H9" s="19">
        <v>0.34297545383114042</v>
      </c>
      <c r="I9" s="20" t="s">
        <v>8</v>
      </c>
      <c r="J9" s="19">
        <v>0.39963155174795001</v>
      </c>
      <c r="K9" s="20" t="s">
        <v>8</v>
      </c>
      <c r="L9" s="19">
        <v>0.39671847393596354</v>
      </c>
      <c r="M9" s="20" t="s">
        <v>8</v>
      </c>
      <c r="O9" s="5"/>
    </row>
    <row r="10" spans="1:15" ht="14.4" x14ac:dyDescent="0.25">
      <c r="A10" s="20" t="s">
        <v>19</v>
      </c>
      <c r="B10" s="19">
        <v>0.7727184006922011</v>
      </c>
      <c r="C10" s="20" t="s">
        <v>8</v>
      </c>
      <c r="D10" s="19">
        <v>1.0707709417551858</v>
      </c>
      <c r="E10" s="20">
        <v>1E-3</v>
      </c>
      <c r="F10" s="19">
        <v>0.14288638357321556</v>
      </c>
      <c r="G10" s="20" t="s">
        <v>8</v>
      </c>
      <c r="H10" s="19">
        <v>0.36261962965673711</v>
      </c>
      <c r="I10" s="20" t="s">
        <v>8</v>
      </c>
      <c r="J10" s="19">
        <v>0.16670066250424956</v>
      </c>
      <c r="K10" s="20" t="s">
        <v>8</v>
      </c>
      <c r="L10" s="19">
        <v>0.45034615384615373</v>
      </c>
      <c r="M10" s="20" t="s">
        <v>8</v>
      </c>
      <c r="O10" s="5"/>
    </row>
    <row r="11" spans="1:15" ht="14.4" x14ac:dyDescent="0.25">
      <c r="A11" s="20" t="s">
        <v>20</v>
      </c>
      <c r="B11" s="19">
        <v>1.6350759769983649</v>
      </c>
      <c r="C11" s="20" t="s">
        <v>8</v>
      </c>
      <c r="D11" s="19">
        <v>1.3962149845133649</v>
      </c>
      <c r="E11" s="20" t="s">
        <v>8</v>
      </c>
      <c r="F11" s="19">
        <v>0.49401227962234695</v>
      </c>
      <c r="G11" s="20" t="s">
        <v>8</v>
      </c>
      <c r="H11" s="19">
        <v>0.4028920954319507</v>
      </c>
      <c r="I11" s="20" t="s">
        <v>8</v>
      </c>
      <c r="J11" s="19">
        <v>0.72547579709360233</v>
      </c>
      <c r="K11" s="20" t="s">
        <v>8</v>
      </c>
      <c r="L11" s="19">
        <v>0.5798215649608891</v>
      </c>
      <c r="M11" s="20" t="s">
        <v>8</v>
      </c>
      <c r="O11" s="5"/>
    </row>
    <row r="12" spans="1:15" ht="14.4" x14ac:dyDescent="0.25">
      <c r="A12" s="15" t="s">
        <v>21</v>
      </c>
      <c r="B12" s="19">
        <v>3.579697819075454</v>
      </c>
      <c r="C12" s="20" t="s">
        <v>8</v>
      </c>
      <c r="D12" s="19">
        <v>2.9808024198753502</v>
      </c>
      <c r="E12" s="20" t="s">
        <v>8</v>
      </c>
      <c r="F12" s="19">
        <v>1.2867520951045468</v>
      </c>
      <c r="G12" s="20" t="s">
        <v>8</v>
      </c>
      <c r="H12" s="19">
        <v>1.018102757954928</v>
      </c>
      <c r="I12" s="20" t="s">
        <v>8</v>
      </c>
      <c r="J12" s="19">
        <v>2.7203124772677505</v>
      </c>
      <c r="K12" s="20" t="s">
        <v>8</v>
      </c>
      <c r="L12" s="19">
        <v>1.8604172809114925</v>
      </c>
      <c r="M12" s="20" t="s">
        <v>8</v>
      </c>
      <c r="O12" s="5"/>
    </row>
    <row r="13" spans="1:15" ht="14.4" x14ac:dyDescent="0.25">
      <c r="A13" s="20" t="s">
        <v>22</v>
      </c>
      <c r="B13" s="19">
        <v>4.0276619216030909</v>
      </c>
      <c r="C13" s="20" t="s">
        <v>8</v>
      </c>
      <c r="D13" s="19">
        <v>3.5416241714845844</v>
      </c>
      <c r="E13" s="20" t="s">
        <v>8</v>
      </c>
      <c r="F13" s="19">
        <v>1.3426555505820232</v>
      </c>
      <c r="G13" s="20" t="s">
        <v>8</v>
      </c>
      <c r="H13" s="19">
        <v>1.2493504993437849</v>
      </c>
      <c r="I13" s="20" t="s">
        <v>8</v>
      </c>
      <c r="J13" s="19">
        <v>2.5420647897895021</v>
      </c>
      <c r="K13" s="20" t="s">
        <v>8</v>
      </c>
      <c r="L13" s="19">
        <v>2.0449443858735923</v>
      </c>
      <c r="M13" s="20" t="s">
        <v>8</v>
      </c>
      <c r="O13" s="5"/>
    </row>
    <row r="14" spans="1:15" ht="14.4" x14ac:dyDescent="0.25">
      <c r="A14" s="20" t="s">
        <v>23</v>
      </c>
      <c r="B14" s="19">
        <v>2.5074147861817826</v>
      </c>
      <c r="C14" s="20" t="s">
        <v>8</v>
      </c>
      <c r="D14" s="19">
        <v>1.8427632602307173</v>
      </c>
      <c r="E14" s="20" t="s">
        <v>8</v>
      </c>
      <c r="F14" s="19">
        <v>0.93186221061119456</v>
      </c>
      <c r="G14" s="20" t="s">
        <v>8</v>
      </c>
      <c r="H14" s="19">
        <v>0.59923705109754222</v>
      </c>
      <c r="I14" s="20" t="s">
        <v>8</v>
      </c>
      <c r="J14" s="19">
        <v>2.1812606264679641</v>
      </c>
      <c r="K14" s="20" t="s">
        <v>8</v>
      </c>
      <c r="L14" s="19">
        <v>1.2742243192707725</v>
      </c>
      <c r="M14" s="20" t="s">
        <v>8</v>
      </c>
      <c r="O14" s="5"/>
    </row>
    <row r="15" spans="1:15" ht="14.4" x14ac:dyDescent="0.25">
      <c r="A15" s="15" t="s">
        <v>27</v>
      </c>
      <c r="B15" s="19">
        <v>3.7316743149320919</v>
      </c>
      <c r="C15" s="20" t="s">
        <v>8</v>
      </c>
      <c r="D15" s="19">
        <v>2.6477176604375838</v>
      </c>
      <c r="E15" s="20" t="s">
        <v>8</v>
      </c>
      <c r="F15" s="19">
        <v>1.2673809939175535</v>
      </c>
      <c r="G15" s="20" t="s">
        <v>8</v>
      </c>
      <c r="H15" s="19">
        <v>0.86114824508821386</v>
      </c>
      <c r="I15" s="20" t="s">
        <v>8</v>
      </c>
      <c r="J15" s="19">
        <v>2.9480203261602513</v>
      </c>
      <c r="K15" s="20" t="s">
        <v>8</v>
      </c>
      <c r="L15" s="19">
        <v>1.7670991571405237</v>
      </c>
      <c r="M15" s="20" t="s">
        <v>8</v>
      </c>
      <c r="O15" s="5"/>
    </row>
    <row r="16" spans="1:15" ht="14.4" x14ac:dyDescent="0.25">
      <c r="A16" s="20" t="s">
        <v>28</v>
      </c>
      <c r="B16" s="19">
        <v>3.7258066136001728</v>
      </c>
      <c r="C16" s="20" t="s">
        <v>8</v>
      </c>
      <c r="D16" s="19">
        <v>2.7515282128198426</v>
      </c>
      <c r="E16" s="20" t="s">
        <v>8</v>
      </c>
      <c r="F16" s="19">
        <v>1.3519828159687501</v>
      </c>
      <c r="G16" s="20" t="s">
        <v>8</v>
      </c>
      <c r="H16" s="19">
        <v>0.94281683397487814</v>
      </c>
      <c r="I16" s="20" t="s">
        <v>8</v>
      </c>
      <c r="J16" s="19">
        <v>2.9884062614945681</v>
      </c>
      <c r="K16" s="20" t="s">
        <v>8</v>
      </c>
      <c r="L16" s="19">
        <v>1.7238647163755729</v>
      </c>
      <c r="M16" s="20" t="s">
        <v>8</v>
      </c>
      <c r="O16" s="5"/>
    </row>
    <row r="17" spans="1:15" ht="14.4" x14ac:dyDescent="0.25">
      <c r="A17" s="20" t="s">
        <v>29</v>
      </c>
      <c r="B17" s="19">
        <v>4.6689721371108872</v>
      </c>
      <c r="C17" s="20" t="s">
        <v>8</v>
      </c>
      <c r="D17" s="19">
        <v>3.2721460011805408</v>
      </c>
      <c r="E17" s="20" t="s">
        <v>8</v>
      </c>
      <c r="F17" s="19">
        <v>1.8950796885891661</v>
      </c>
      <c r="G17" s="20" t="s">
        <v>8</v>
      </c>
      <c r="H17" s="19">
        <v>1.2441861229256599</v>
      </c>
      <c r="I17" s="20" t="s">
        <v>8</v>
      </c>
      <c r="J17" s="19">
        <v>3.8775211689671938</v>
      </c>
      <c r="K17" s="20" t="s">
        <v>8</v>
      </c>
      <c r="L17" s="19">
        <v>2.2691069543717939</v>
      </c>
      <c r="M17" s="20" t="s">
        <v>8</v>
      </c>
      <c r="O17" s="5"/>
    </row>
    <row r="18" spans="1:15" ht="14.4" x14ac:dyDescent="0.25">
      <c r="A18" s="20" t="s">
        <v>30</v>
      </c>
      <c r="B18" s="19">
        <v>3.1081043309032617</v>
      </c>
      <c r="C18" s="20" t="s">
        <v>8</v>
      </c>
      <c r="D18" s="19">
        <v>2.1623193617240983</v>
      </c>
      <c r="E18" s="20" t="s">
        <v>8</v>
      </c>
      <c r="F18" s="19">
        <v>0.89986187413019303</v>
      </c>
      <c r="G18" s="20" t="s">
        <v>8</v>
      </c>
      <c r="H18" s="19">
        <v>0.59621915480975007</v>
      </c>
      <c r="I18" s="20" t="s">
        <v>8</v>
      </c>
      <c r="J18" s="19">
        <v>2.0806048687912053</v>
      </c>
      <c r="K18" s="20" t="s">
        <v>8</v>
      </c>
      <c r="L18" s="19">
        <v>1.2759468129418958</v>
      </c>
      <c r="M18" s="20" t="s">
        <v>8</v>
      </c>
      <c r="O18" s="5"/>
    </row>
    <row r="19" spans="1:15" ht="14.4" x14ac:dyDescent="0.25">
      <c r="A19" s="20" t="s">
        <v>31</v>
      </c>
      <c r="B19" s="19">
        <v>3.3165682953592825</v>
      </c>
      <c r="C19" s="20" t="s">
        <v>8</v>
      </c>
      <c r="D19" s="19">
        <v>2.1329531912413864</v>
      </c>
      <c r="E19" s="20" t="s">
        <v>8</v>
      </c>
      <c r="F19" s="19">
        <v>1.0348793532247063</v>
      </c>
      <c r="G19" s="20" t="s">
        <v>8</v>
      </c>
      <c r="H19" s="19">
        <v>0.62159684391096381</v>
      </c>
      <c r="I19" s="20" t="s">
        <v>8</v>
      </c>
      <c r="J19" s="19">
        <v>2.4041814077807397</v>
      </c>
      <c r="K19" s="20" t="s">
        <v>8</v>
      </c>
      <c r="L19" s="19">
        <v>1.3707586963246254</v>
      </c>
      <c r="M19" s="20" t="s">
        <v>8</v>
      </c>
      <c r="O19" s="5"/>
    </row>
    <row r="20" spans="1:15" ht="14.4" x14ac:dyDescent="0.25">
      <c r="A20" s="20" t="s">
        <v>32</v>
      </c>
      <c r="B20" s="19">
        <v>3.005950793749391</v>
      </c>
      <c r="C20" s="20" t="s">
        <v>8</v>
      </c>
      <c r="D20" s="19">
        <v>2.5203243774764275</v>
      </c>
      <c r="E20" s="20" t="s">
        <v>8</v>
      </c>
      <c r="F20" s="19">
        <v>0.94093857575601136</v>
      </c>
      <c r="G20" s="20" t="s">
        <v>8</v>
      </c>
      <c r="H20" s="19">
        <v>0.8207437188704152</v>
      </c>
      <c r="I20" s="20" t="s">
        <v>8</v>
      </c>
      <c r="J20" s="19">
        <v>2.3968909029684333</v>
      </c>
      <c r="K20" s="20" t="s">
        <v>8</v>
      </c>
      <c r="L20" s="19">
        <v>1.6595470176891411</v>
      </c>
      <c r="M20" s="20" t="s">
        <v>8</v>
      </c>
      <c r="O20" s="5"/>
    </row>
    <row r="21" spans="1:15" ht="14.4" x14ac:dyDescent="0.25">
      <c r="A21" s="20" t="s">
        <v>33</v>
      </c>
      <c r="B21" s="19">
        <v>4.4087429500609536</v>
      </c>
      <c r="C21" s="20" t="s">
        <v>8</v>
      </c>
      <c r="D21" s="19">
        <v>2.9772771405720593</v>
      </c>
      <c r="E21" s="20" t="s">
        <v>8</v>
      </c>
      <c r="F21" s="19">
        <v>1.3764778179322987</v>
      </c>
      <c r="G21" s="20" t="s">
        <v>8</v>
      </c>
      <c r="H21" s="19">
        <v>0.90965074097564858</v>
      </c>
      <c r="I21" s="20" t="s">
        <v>8</v>
      </c>
      <c r="J21" s="19">
        <v>3.5421552724827876</v>
      </c>
      <c r="K21" s="20" t="s">
        <v>8</v>
      </c>
      <c r="L21" s="19">
        <v>2.120854203001346</v>
      </c>
      <c r="M21" s="20" t="s">
        <v>8</v>
      </c>
      <c r="O21" s="5"/>
    </row>
    <row r="22" spans="1:15" ht="14.4" x14ac:dyDescent="0.25">
      <c r="A22" s="20" t="s">
        <v>34</v>
      </c>
      <c r="B22" s="19">
        <v>1.2769355016663617</v>
      </c>
      <c r="C22" s="20" t="s">
        <v>8</v>
      </c>
      <c r="D22" s="19">
        <v>1.0301986845323563</v>
      </c>
      <c r="E22" s="20" t="s">
        <v>8</v>
      </c>
      <c r="F22" s="19">
        <v>0.24036449029969983</v>
      </c>
      <c r="G22" s="20" t="s">
        <v>8</v>
      </c>
      <c r="H22" s="19">
        <v>0.15640286729289773</v>
      </c>
      <c r="I22" s="20" t="s">
        <v>8</v>
      </c>
      <c r="J22" s="19">
        <v>0.81555374517888979</v>
      </c>
      <c r="K22" s="20" t="s">
        <v>8</v>
      </c>
      <c r="L22" s="19">
        <v>0.45868396239544629</v>
      </c>
      <c r="M22" s="20" t="s">
        <v>8</v>
      </c>
      <c r="O22" s="5"/>
    </row>
    <row r="23" spans="1:15" ht="14.4" x14ac:dyDescent="0.25">
      <c r="A23" s="20" t="s">
        <v>35</v>
      </c>
      <c r="B23" s="19">
        <v>3.5716893693479763</v>
      </c>
      <c r="C23" s="20" t="s">
        <v>8</v>
      </c>
      <c r="D23" s="19">
        <v>2.3223143157745674</v>
      </c>
      <c r="E23" s="20" t="s">
        <v>8</v>
      </c>
      <c r="F23" s="19">
        <v>1.3649069519601083</v>
      </c>
      <c r="G23" s="20" t="s">
        <v>8</v>
      </c>
      <c r="H23" s="19">
        <v>0.85408596983200835</v>
      </c>
      <c r="I23" s="20" t="s">
        <v>8</v>
      </c>
      <c r="J23" s="19">
        <v>3.0912443895047219</v>
      </c>
      <c r="K23" s="20" t="s">
        <v>8</v>
      </c>
      <c r="L23" s="19">
        <v>1.8942726268534686</v>
      </c>
      <c r="M23" s="20" t="s">
        <v>8</v>
      </c>
      <c r="O23" s="5"/>
    </row>
    <row r="24" spans="1:15" ht="14.4" x14ac:dyDescent="0.25">
      <c r="A24" s="15" t="s">
        <v>36</v>
      </c>
      <c r="B24" s="19">
        <v>1.4521594606108441</v>
      </c>
      <c r="C24" s="20" t="s">
        <v>8</v>
      </c>
      <c r="D24" s="19">
        <v>1.622771702193389</v>
      </c>
      <c r="E24" s="20" t="s">
        <v>8</v>
      </c>
      <c r="F24" s="19">
        <v>0.30892131535185163</v>
      </c>
      <c r="G24" s="20" t="s">
        <v>8</v>
      </c>
      <c r="H24" s="19">
        <v>0.46869241034294967</v>
      </c>
      <c r="I24" s="20" t="s">
        <v>8</v>
      </c>
      <c r="J24" s="19">
        <v>0.89481795053828794</v>
      </c>
      <c r="K24" s="20" t="s">
        <v>8</v>
      </c>
      <c r="L24" s="19">
        <v>0.83860823460582135</v>
      </c>
      <c r="M24" s="20" t="s">
        <v>8</v>
      </c>
      <c r="O24" s="5"/>
    </row>
    <row r="25" spans="1:15" ht="14.4" x14ac:dyDescent="0.25">
      <c r="A25" s="20" t="s">
        <v>37</v>
      </c>
      <c r="B25" s="19">
        <v>0.8731479633097039</v>
      </c>
      <c r="C25" s="20" t="s">
        <v>8</v>
      </c>
      <c r="D25" s="19">
        <v>1.313447516339082</v>
      </c>
      <c r="E25" s="20" t="s">
        <v>8</v>
      </c>
      <c r="F25" s="19">
        <v>0.14949538478429669</v>
      </c>
      <c r="G25" s="20" t="s">
        <v>8</v>
      </c>
      <c r="H25" s="19">
        <v>0.42052195188256042</v>
      </c>
      <c r="I25" s="20" t="s">
        <v>8</v>
      </c>
      <c r="J25" s="19">
        <v>0.38503425459479912</v>
      </c>
      <c r="K25" s="20" t="s">
        <v>8</v>
      </c>
      <c r="L25" s="19">
        <v>0.71953658260344266</v>
      </c>
      <c r="M25" s="20" t="s">
        <v>8</v>
      </c>
      <c r="O25" s="5"/>
    </row>
    <row r="26" spans="1:15" ht="14.4" x14ac:dyDescent="0.25">
      <c r="A26" s="20" t="s">
        <v>38</v>
      </c>
      <c r="B26" s="19">
        <v>0.91346939297330965</v>
      </c>
      <c r="C26" s="20" t="s">
        <v>8</v>
      </c>
      <c r="D26" s="19">
        <v>0.5628964016601522</v>
      </c>
      <c r="E26" s="20" t="s">
        <v>8</v>
      </c>
      <c r="F26" s="19">
        <v>-3.7797376323463264E-2</v>
      </c>
      <c r="G26" s="20" t="s">
        <v>8</v>
      </c>
      <c r="H26" s="19">
        <v>-2.4497158454505136E-2</v>
      </c>
      <c r="I26" s="20" t="s">
        <v>8</v>
      </c>
      <c r="J26" s="19">
        <v>0.69520468562670013</v>
      </c>
      <c r="K26" s="20" t="s">
        <v>8</v>
      </c>
      <c r="L26" s="19">
        <v>0.18573196672835157</v>
      </c>
      <c r="M26" s="20" t="s">
        <v>8</v>
      </c>
      <c r="O26" s="5"/>
    </row>
    <row r="27" spans="1:15" ht="14.4" x14ac:dyDescent="0.25">
      <c r="A27" s="20" t="s">
        <v>39</v>
      </c>
      <c r="B27" s="19">
        <v>1.6127910983427793</v>
      </c>
      <c r="C27" s="20" t="s">
        <v>8</v>
      </c>
      <c r="D27" s="19">
        <v>1.882604415138486</v>
      </c>
      <c r="E27" s="20" t="s">
        <v>8</v>
      </c>
      <c r="F27" s="19">
        <v>0.32996216151036434</v>
      </c>
      <c r="G27" s="20" t="s">
        <v>8</v>
      </c>
      <c r="H27" s="19">
        <v>0.47045748779460644</v>
      </c>
      <c r="I27" s="20" t="s">
        <v>8</v>
      </c>
      <c r="J27" s="19">
        <v>0.77676377545117681</v>
      </c>
      <c r="K27" s="20" t="s">
        <v>8</v>
      </c>
      <c r="L27" s="19">
        <v>0.88175324056423943</v>
      </c>
      <c r="M27" s="20" t="s">
        <v>8</v>
      </c>
      <c r="O27" s="5"/>
    </row>
    <row r="28" spans="1:15" ht="14.4" x14ac:dyDescent="0.25">
      <c r="A28" s="15" t="s">
        <v>40</v>
      </c>
      <c r="B28" s="19">
        <v>1.3007418888072286</v>
      </c>
      <c r="C28" s="20" t="s">
        <v>8</v>
      </c>
      <c r="D28" s="19">
        <v>1.2956358170138087</v>
      </c>
      <c r="E28" s="20" t="s">
        <v>8</v>
      </c>
      <c r="F28" s="19">
        <v>0.38018411082192255</v>
      </c>
      <c r="G28" s="20" t="s">
        <v>8</v>
      </c>
      <c r="H28" s="19">
        <v>0.41734012630042133</v>
      </c>
      <c r="I28" s="20" t="s">
        <v>8</v>
      </c>
      <c r="J28" s="19">
        <v>0.60936025388087478</v>
      </c>
      <c r="K28" s="20" t="s">
        <v>8</v>
      </c>
      <c r="L28" s="19">
        <v>0.86759536456935515</v>
      </c>
      <c r="M28" s="20" t="s">
        <v>8</v>
      </c>
      <c r="O28" s="5"/>
    </row>
    <row r="29" spans="1:15" ht="14.4" x14ac:dyDescent="0.25">
      <c r="A29" s="20" t="s">
        <v>41</v>
      </c>
      <c r="B29" s="19">
        <v>0.94245425549579698</v>
      </c>
      <c r="C29" s="20" t="s">
        <v>8</v>
      </c>
      <c r="D29" s="19">
        <v>1.0924340182877521</v>
      </c>
      <c r="E29" s="20" t="s">
        <v>8</v>
      </c>
      <c r="F29" s="19">
        <v>0.14723359740709949</v>
      </c>
      <c r="G29" s="20" t="s">
        <v>8</v>
      </c>
      <c r="H29" s="19">
        <v>0.31159723526880717</v>
      </c>
      <c r="I29" s="20" t="s">
        <v>8</v>
      </c>
      <c r="J29" s="19">
        <v>0.29754799445728991</v>
      </c>
      <c r="K29" s="20" t="s">
        <v>8</v>
      </c>
      <c r="L29" s="19">
        <v>0.56723517812175961</v>
      </c>
      <c r="M29" s="20" t="s">
        <v>8</v>
      </c>
      <c r="O29" s="5"/>
    </row>
    <row r="30" spans="1:15" ht="14.4" x14ac:dyDescent="0.25">
      <c r="A30" s="20" t="s">
        <v>42</v>
      </c>
      <c r="B30" s="19">
        <v>2.1524751368237478</v>
      </c>
      <c r="C30" s="20" t="s">
        <v>8</v>
      </c>
      <c r="D30" s="19">
        <v>1.6557182423714059</v>
      </c>
      <c r="E30" s="20" t="s">
        <v>8</v>
      </c>
      <c r="F30" s="19">
        <v>0.76171814971829233</v>
      </c>
      <c r="G30" s="20" t="s">
        <v>8</v>
      </c>
      <c r="H30" s="19">
        <v>0.52690768342352134</v>
      </c>
      <c r="I30" s="20" t="s">
        <v>8</v>
      </c>
      <c r="J30" s="19">
        <v>0.98228183234264987</v>
      </c>
      <c r="K30" s="20" t="s">
        <v>8</v>
      </c>
      <c r="L30" s="19">
        <v>1.1531533570969996</v>
      </c>
      <c r="M30" s="20" t="s">
        <v>8</v>
      </c>
      <c r="O30" s="5"/>
    </row>
    <row r="31" spans="1:15" ht="14.4" x14ac:dyDescent="0.25">
      <c r="A31" s="20" t="s">
        <v>43</v>
      </c>
      <c r="B31" s="19">
        <v>0.80194187810921336</v>
      </c>
      <c r="C31" s="20" t="s">
        <v>8</v>
      </c>
      <c r="D31" s="19">
        <v>0.94256971943718915</v>
      </c>
      <c r="E31" s="20" t="s">
        <v>8</v>
      </c>
      <c r="F31" s="19">
        <v>0.12670183182748479</v>
      </c>
      <c r="G31" s="20" t="s">
        <v>8</v>
      </c>
      <c r="H31" s="19">
        <v>0.28792215206296962</v>
      </c>
      <c r="I31" s="20" t="s">
        <v>8</v>
      </c>
      <c r="J31" s="19">
        <v>0.62615357826919615</v>
      </c>
      <c r="K31" s="20" t="s">
        <v>8</v>
      </c>
      <c r="L31" s="19">
        <v>0.55459936575052771</v>
      </c>
      <c r="M31" s="20" t="s">
        <v>8</v>
      </c>
      <c r="O31" s="5"/>
    </row>
    <row r="32" spans="1:15" ht="14.4" x14ac:dyDescent="0.25">
      <c r="A32" s="20" t="s">
        <v>44</v>
      </c>
      <c r="B32" s="19">
        <v>0.86606228935854168</v>
      </c>
      <c r="C32" s="20">
        <v>1.1000000000000001E-3</v>
      </c>
      <c r="D32" s="19">
        <v>1.1041378060587861</v>
      </c>
      <c r="E32" s="20">
        <v>3.2399999999999998E-2</v>
      </c>
      <c r="F32" s="19">
        <v>0.26443338463338789</v>
      </c>
      <c r="G32" s="20" t="s">
        <v>8</v>
      </c>
      <c r="H32" s="19">
        <v>0.41569497525633997</v>
      </c>
      <c r="I32" s="20" t="s">
        <v>8</v>
      </c>
      <c r="J32" s="19">
        <v>0.33623034542685082</v>
      </c>
      <c r="K32" s="20" t="s">
        <v>8</v>
      </c>
      <c r="L32" s="19">
        <v>0.78120241652591893</v>
      </c>
      <c r="M32" s="20" t="s">
        <v>8</v>
      </c>
      <c r="O32" s="5"/>
    </row>
    <row r="33" spans="1:15" ht="14.4" x14ac:dyDescent="0.25">
      <c r="A33" s="21" t="s">
        <v>45</v>
      </c>
      <c r="B33" s="19">
        <v>2.0302087994422497</v>
      </c>
      <c r="C33" s="20" t="s">
        <v>8</v>
      </c>
      <c r="D33" s="19">
        <v>1.710351723191045</v>
      </c>
      <c r="E33" s="20" t="s">
        <v>8</v>
      </c>
      <c r="F33" s="19">
        <v>0.66785187279968272</v>
      </c>
      <c r="G33" s="20" t="s">
        <v>8</v>
      </c>
      <c r="H33" s="19">
        <v>0.54595762933280867</v>
      </c>
      <c r="I33" s="20" t="s">
        <v>8</v>
      </c>
      <c r="J33" s="19">
        <v>1.7327169065555852</v>
      </c>
      <c r="K33" s="20" t="s">
        <v>8</v>
      </c>
      <c r="L33" s="19">
        <v>1.1914205163791982</v>
      </c>
      <c r="M33" s="20" t="s">
        <v>8</v>
      </c>
      <c r="O33" s="5"/>
    </row>
    <row r="34" spans="1:15" ht="14.4" x14ac:dyDescent="0.25">
      <c r="A34" s="22" t="s">
        <v>46</v>
      </c>
      <c r="B34" s="19">
        <v>2.547388454149039</v>
      </c>
      <c r="C34" s="20" t="s">
        <v>8</v>
      </c>
      <c r="D34" s="19">
        <v>1.7748082085733003</v>
      </c>
      <c r="E34" s="20" t="s">
        <v>8</v>
      </c>
      <c r="F34" s="19">
        <v>0.81789350400540972</v>
      </c>
      <c r="G34" s="20" t="s">
        <v>8</v>
      </c>
      <c r="H34" s="19">
        <v>0.56388569397744026</v>
      </c>
      <c r="I34" s="20" t="s">
        <v>8</v>
      </c>
      <c r="J34" s="19">
        <v>2.0315869490100655</v>
      </c>
      <c r="K34" s="20" t="s">
        <v>8</v>
      </c>
      <c r="L34" s="19">
        <v>1.2166573835331809</v>
      </c>
      <c r="M34" s="20" t="s">
        <v>8</v>
      </c>
      <c r="O34" s="5"/>
    </row>
    <row r="35" spans="1:15" ht="14.4" x14ac:dyDescent="0.25">
      <c r="A35" s="22" t="s">
        <v>47</v>
      </c>
      <c r="B35" s="19">
        <v>2.8166129450708168</v>
      </c>
      <c r="C35" s="20" t="s">
        <v>8</v>
      </c>
      <c r="D35" s="19">
        <v>2.1946769111506126</v>
      </c>
      <c r="E35" s="20" t="s">
        <v>8</v>
      </c>
      <c r="F35" s="19">
        <v>0.92803278896656449</v>
      </c>
      <c r="G35" s="20" t="s">
        <v>8</v>
      </c>
      <c r="H35" s="19">
        <v>0.70071219085234293</v>
      </c>
      <c r="I35" s="20" t="s">
        <v>8</v>
      </c>
      <c r="J35" s="19">
        <v>2.2145463391174647</v>
      </c>
      <c r="K35" s="20" t="s">
        <v>8</v>
      </c>
      <c r="L35" s="19">
        <v>1.4506906466487401</v>
      </c>
      <c r="M35" s="20" t="s">
        <v>8</v>
      </c>
      <c r="O35" s="5"/>
    </row>
    <row r="36" spans="1:15" ht="14.4" x14ac:dyDescent="0.25">
      <c r="A36" s="22" t="s">
        <v>48</v>
      </c>
      <c r="B36" s="19">
        <v>1.1819221040414698</v>
      </c>
      <c r="C36" s="20" t="s">
        <v>8</v>
      </c>
      <c r="D36" s="19">
        <v>1.1659759202934989</v>
      </c>
      <c r="E36" s="20" t="s">
        <v>8</v>
      </c>
      <c r="F36" s="19">
        <v>0.39939022816812325</v>
      </c>
      <c r="G36" s="20" t="s">
        <v>8</v>
      </c>
      <c r="H36" s="19">
        <v>0.37880074522803742</v>
      </c>
      <c r="I36" s="20" t="s">
        <v>8</v>
      </c>
      <c r="J36" s="19">
        <v>1.1146854250643081</v>
      </c>
      <c r="K36" s="20" t="s">
        <v>8</v>
      </c>
      <c r="L36" s="19">
        <v>0.83511365294703976</v>
      </c>
      <c r="M36" s="20" t="s">
        <v>8</v>
      </c>
      <c r="O36" s="5"/>
    </row>
    <row r="37" spans="1:15" ht="14.4" x14ac:dyDescent="0.25">
      <c r="A37" s="15" t="s">
        <v>49</v>
      </c>
      <c r="B37" s="19">
        <v>3.1719020042700525</v>
      </c>
      <c r="C37" s="20" t="s">
        <v>8</v>
      </c>
      <c r="D37" s="19">
        <v>2.2887432159891388</v>
      </c>
      <c r="E37" s="20" t="s">
        <v>8</v>
      </c>
      <c r="F37" s="19">
        <v>1.185816992600079</v>
      </c>
      <c r="G37" s="20" t="s">
        <v>8</v>
      </c>
      <c r="H37" s="19">
        <v>0.86113511953984767</v>
      </c>
      <c r="I37" s="20" t="s">
        <v>8</v>
      </c>
      <c r="J37" s="19">
        <v>3.071930812031137</v>
      </c>
      <c r="K37" s="20" t="s">
        <v>8</v>
      </c>
      <c r="L37" s="19">
        <v>1.909514361418911</v>
      </c>
      <c r="M37" s="20" t="s">
        <v>8</v>
      </c>
      <c r="O37" s="5"/>
    </row>
    <row r="38" spans="1:15" ht="14.4" x14ac:dyDescent="0.25">
      <c r="A38" s="20" t="s">
        <v>50</v>
      </c>
      <c r="B38" s="19">
        <v>3.2886210909999778</v>
      </c>
      <c r="C38" s="20" t="s">
        <v>8</v>
      </c>
      <c r="D38" s="19">
        <v>2.2293819436679247</v>
      </c>
      <c r="E38" s="20" t="s">
        <v>8</v>
      </c>
      <c r="F38" s="19">
        <v>1.2709048263133584</v>
      </c>
      <c r="G38" s="20" t="s">
        <v>8</v>
      </c>
      <c r="H38" s="19">
        <v>0.85419322577732737</v>
      </c>
      <c r="I38" s="20" t="s">
        <v>8</v>
      </c>
      <c r="J38" s="19">
        <v>3.4885746502307611</v>
      </c>
      <c r="K38" s="20" t="s">
        <v>8</v>
      </c>
      <c r="L38" s="19">
        <v>2.0253362307408116</v>
      </c>
      <c r="M38" s="20" t="s">
        <v>8</v>
      </c>
      <c r="O38" s="5"/>
    </row>
    <row r="39" spans="1:15" ht="14.4" x14ac:dyDescent="0.25">
      <c r="A39" s="20" t="s">
        <v>51</v>
      </c>
      <c r="B39" s="19">
        <v>4.4628218523309773</v>
      </c>
      <c r="C39" s="20" t="s">
        <v>8</v>
      </c>
      <c r="D39" s="19">
        <v>3.4951269333336912</v>
      </c>
      <c r="E39" s="20" t="s">
        <v>8</v>
      </c>
      <c r="F39" s="19">
        <v>1.6621673397170549</v>
      </c>
      <c r="G39" s="20" t="s">
        <v>8</v>
      </c>
      <c r="H39" s="19">
        <v>1.3027112846830402</v>
      </c>
      <c r="I39" s="20" t="s">
        <v>8</v>
      </c>
      <c r="J39" s="19">
        <v>4.3109996109855917</v>
      </c>
      <c r="K39" s="20" t="s">
        <v>8</v>
      </c>
      <c r="L39" s="19">
        <v>2.7592753307288627</v>
      </c>
      <c r="M39" s="20" t="s">
        <v>8</v>
      </c>
      <c r="O39" s="5"/>
    </row>
    <row r="40" spans="1:15" ht="14.4" x14ac:dyDescent="0.25">
      <c r="A40" s="20" t="s">
        <v>52</v>
      </c>
      <c r="B40" s="19">
        <v>2.4150729071807349</v>
      </c>
      <c r="C40" s="20" t="s">
        <v>8</v>
      </c>
      <c r="D40" s="19">
        <v>1.6757762339603419</v>
      </c>
      <c r="E40" s="20" t="s">
        <v>8</v>
      </c>
      <c r="F40" s="19">
        <v>0.90731485436300796</v>
      </c>
      <c r="G40" s="20" t="s">
        <v>8</v>
      </c>
      <c r="H40" s="19">
        <v>0.63328258140165894</v>
      </c>
      <c r="I40" s="20" t="s">
        <v>8</v>
      </c>
      <c r="J40" s="19">
        <v>1.8819541559759769</v>
      </c>
      <c r="K40" s="20" t="s">
        <v>8</v>
      </c>
      <c r="L40" s="19">
        <v>1.193145229690542</v>
      </c>
      <c r="M40" s="20" t="s">
        <v>8</v>
      </c>
      <c r="O40" s="5"/>
    </row>
    <row r="41" spans="1:15" ht="14.4" x14ac:dyDescent="0.25">
      <c r="A41" s="20" t="s">
        <v>53</v>
      </c>
      <c r="B41" s="19">
        <v>2.2412992975853983</v>
      </c>
      <c r="C41" s="20" t="s">
        <v>8</v>
      </c>
      <c r="D41" s="19">
        <v>1.5716450454453308</v>
      </c>
      <c r="E41" s="20" t="s">
        <v>8</v>
      </c>
      <c r="F41" s="19">
        <v>0.81587547899296586</v>
      </c>
      <c r="G41" s="20" t="s">
        <v>8</v>
      </c>
      <c r="H41" s="19">
        <v>0.54884797828886567</v>
      </c>
      <c r="I41" s="20" t="s">
        <v>8</v>
      </c>
      <c r="J41" s="19">
        <v>1.5581236714753637</v>
      </c>
      <c r="K41" s="20" t="s">
        <v>8</v>
      </c>
      <c r="L41" s="19">
        <v>1.1006236274565004</v>
      </c>
      <c r="M41" s="20" t="s">
        <v>8</v>
      </c>
      <c r="O41" s="5"/>
    </row>
    <row r="42" spans="1:15" ht="14.4" x14ac:dyDescent="0.25">
      <c r="A42" s="20" t="s">
        <v>54</v>
      </c>
      <c r="B42" s="19">
        <v>2.2954945766790669</v>
      </c>
      <c r="C42" s="20" t="s">
        <v>8</v>
      </c>
      <c r="D42" s="19">
        <v>1.6164732999018165</v>
      </c>
      <c r="E42" s="20" t="s">
        <v>8</v>
      </c>
      <c r="F42" s="19">
        <v>0.83287956446534661</v>
      </c>
      <c r="G42" s="20" t="s">
        <v>8</v>
      </c>
      <c r="H42" s="19">
        <v>0.60650600324066661</v>
      </c>
      <c r="I42" s="20" t="s">
        <v>8</v>
      </c>
      <c r="J42" s="19">
        <v>2.1847061620289243</v>
      </c>
      <c r="K42" s="20" t="s">
        <v>8</v>
      </c>
      <c r="L42" s="19">
        <v>1.6382446429599351</v>
      </c>
      <c r="M42" s="20" t="s">
        <v>8</v>
      </c>
      <c r="O42" s="5"/>
    </row>
    <row r="43" spans="1:15" ht="14.4" x14ac:dyDescent="0.25">
      <c r="A43" s="20" t="s">
        <v>55</v>
      </c>
      <c r="B43" s="19">
        <v>1.5247179542455813</v>
      </c>
      <c r="C43" s="20" t="s">
        <v>8</v>
      </c>
      <c r="D43" s="19">
        <v>1.0274570114390773</v>
      </c>
      <c r="E43" s="20" t="s">
        <v>8</v>
      </c>
      <c r="F43" s="19">
        <v>0.55235319514031056</v>
      </c>
      <c r="G43" s="20" t="s">
        <v>8</v>
      </c>
      <c r="H43" s="19">
        <v>0.28167753598055262</v>
      </c>
      <c r="I43" s="20" t="s">
        <v>8</v>
      </c>
      <c r="J43" s="19">
        <v>1.8981110722106409</v>
      </c>
      <c r="K43" s="20" t="s">
        <v>8</v>
      </c>
      <c r="L43" s="19">
        <v>0.73468570488650475</v>
      </c>
      <c r="M43" s="20" t="s">
        <v>8</v>
      </c>
      <c r="O43" s="5"/>
    </row>
    <row r="44" spans="1:15" ht="14.4" x14ac:dyDescent="0.25">
      <c r="A44" s="20" t="s">
        <v>56</v>
      </c>
      <c r="B44" s="19">
        <v>1.1946930344858573</v>
      </c>
      <c r="C44" s="20" t="s">
        <v>8</v>
      </c>
      <c r="D44" s="19">
        <v>0.83618862642324887</v>
      </c>
      <c r="E44" s="20" t="s">
        <v>8</v>
      </c>
      <c r="F44" s="19">
        <v>0.36367844067162092</v>
      </c>
      <c r="G44" s="20" t="s">
        <v>8</v>
      </c>
      <c r="H44" s="19">
        <v>0.31287161767406108</v>
      </c>
      <c r="I44" s="20" t="s">
        <v>8</v>
      </c>
      <c r="J44" s="19">
        <v>0.57579027507086644</v>
      </c>
      <c r="K44" s="20" t="s">
        <v>8</v>
      </c>
      <c r="L44" s="19">
        <v>0.73082925336597238</v>
      </c>
      <c r="M44" s="20" t="s">
        <v>8</v>
      </c>
      <c r="O44" s="5"/>
    </row>
    <row r="45" spans="1:15" ht="14.4" x14ac:dyDescent="0.25">
      <c r="A45" s="15" t="s">
        <v>57</v>
      </c>
      <c r="B45" s="19">
        <v>-0.17349125416443387</v>
      </c>
      <c r="C45" s="20">
        <v>2.8000000000000001E-2</v>
      </c>
      <c r="D45" s="19">
        <v>-0.20950725980846452</v>
      </c>
      <c r="E45" s="20">
        <v>0.37780000000000002</v>
      </c>
      <c r="F45" s="19">
        <v>-0.28967297088472438</v>
      </c>
      <c r="G45" s="20">
        <v>0.30009999999999998</v>
      </c>
      <c r="H45" s="19">
        <v>-0.26675520668146713</v>
      </c>
      <c r="I45" s="20">
        <v>0.93289999999999995</v>
      </c>
      <c r="J45" s="19">
        <v>-0.30538472981216397</v>
      </c>
      <c r="K45" s="20">
        <v>0.74719999999999998</v>
      </c>
      <c r="L45" s="19">
        <v>-0.32575500645994815</v>
      </c>
      <c r="M45" s="20">
        <v>0.99539999999999995</v>
      </c>
      <c r="O45" s="5"/>
    </row>
    <row r="46" spans="1:15" ht="14.4" x14ac:dyDescent="0.25">
      <c r="A46" s="15" t="s">
        <v>58</v>
      </c>
      <c r="B46" s="19">
        <v>2.6369087797450326</v>
      </c>
      <c r="C46" s="20" t="s">
        <v>8</v>
      </c>
      <c r="D46" s="19">
        <v>2.345148076999338</v>
      </c>
      <c r="E46" s="20" t="s">
        <v>8</v>
      </c>
      <c r="F46" s="19">
        <v>0.77304737814246272</v>
      </c>
      <c r="G46" s="20" t="s">
        <v>8</v>
      </c>
      <c r="H46" s="19">
        <v>0.59685112069996393</v>
      </c>
      <c r="I46" s="20" t="s">
        <v>8</v>
      </c>
      <c r="J46" s="19">
        <v>2.0128071701620103</v>
      </c>
      <c r="K46" s="20" t="s">
        <v>8</v>
      </c>
      <c r="L46" s="19">
        <v>1.300397401404477</v>
      </c>
      <c r="M46" s="20" t="s">
        <v>8</v>
      </c>
      <c r="O46" s="5"/>
    </row>
    <row r="47" spans="1:15" ht="14.4" x14ac:dyDescent="0.25">
      <c r="A47" s="15" t="s">
        <v>59</v>
      </c>
      <c r="B47" s="19">
        <v>1.3125484671043557</v>
      </c>
      <c r="C47" s="20" t="s">
        <v>8</v>
      </c>
      <c r="D47" s="19">
        <v>0.98442783832512581</v>
      </c>
      <c r="E47" s="20" t="s">
        <v>8</v>
      </c>
      <c r="F47" s="19">
        <v>0.24209073648217799</v>
      </c>
      <c r="G47" s="20" t="s">
        <v>8</v>
      </c>
      <c r="H47" s="19">
        <v>0.14872110277834458</v>
      </c>
      <c r="I47" s="20" t="s">
        <v>8</v>
      </c>
      <c r="J47" s="19">
        <v>0.99112147211501689</v>
      </c>
      <c r="K47" s="20" t="s">
        <v>8</v>
      </c>
      <c r="L47" s="19">
        <v>0.63646913270282479</v>
      </c>
      <c r="M47" s="20" t="s">
        <v>8</v>
      </c>
      <c r="O47" s="5"/>
    </row>
    <row r="48" spans="1:15" ht="14.4" x14ac:dyDescent="0.25">
      <c r="A48" s="15" t="s">
        <v>60</v>
      </c>
      <c r="B48" s="19">
        <v>-0.90051258196073702</v>
      </c>
      <c r="C48" s="20">
        <v>0.23039999999999999</v>
      </c>
      <c r="D48" s="19">
        <v>-0.61027264473908194</v>
      </c>
      <c r="E48" s="20" t="s">
        <v>8</v>
      </c>
      <c r="F48" s="19">
        <v>-0.82597903842000753</v>
      </c>
      <c r="G48" s="20">
        <v>0.43280000000000002</v>
      </c>
      <c r="H48" s="19">
        <v>-0.59204450571855771</v>
      </c>
      <c r="I48" s="20">
        <v>7.6E-3</v>
      </c>
      <c r="J48" s="19">
        <v>-0.95900453164027233</v>
      </c>
      <c r="K48" s="20">
        <v>0.37230000000000002</v>
      </c>
      <c r="L48" s="19">
        <v>-0.52061580446131939</v>
      </c>
      <c r="M48" s="20">
        <v>5.9700000000000003E-2</v>
      </c>
      <c r="O48" s="5"/>
    </row>
    <row r="49" spans="15:15" ht="14.4" x14ac:dyDescent="0.25">
      <c r="O49" s="5"/>
    </row>
    <row r="50" spans="15:15" ht="14.4" x14ac:dyDescent="0.25">
      <c r="O50" s="5"/>
    </row>
    <row r="51" spans="15:15" ht="14.4" x14ac:dyDescent="0.25">
      <c r="O51" s="5"/>
    </row>
  </sheetData>
  <mergeCells count="3">
    <mergeCell ref="B1:E1"/>
    <mergeCell ref="F1:I1"/>
    <mergeCell ref="J1:M1"/>
  </mergeCells>
  <phoneticPr fontId="5" type="noConversion"/>
  <conditionalFormatting sqref="B3:B48">
    <cfRule type="top10" dxfId="25" priority="15" bottom="1" rank="3"/>
    <cfRule type="top10" dxfId="24" priority="16" rank="3"/>
  </conditionalFormatting>
  <conditionalFormatting sqref="D3:D48">
    <cfRule type="top10" dxfId="23" priority="13" bottom="1" rank="3"/>
    <cfRule type="top10" dxfId="22" priority="14" rank="3"/>
  </conditionalFormatting>
  <conditionalFormatting sqref="F3:F48">
    <cfRule type="top10" dxfId="21" priority="11" bottom="1" rank="3"/>
    <cfRule type="top10" dxfId="20" priority="12" rank="3"/>
  </conditionalFormatting>
  <conditionalFormatting sqref="H3:H48">
    <cfRule type="top10" dxfId="19" priority="9" bottom="1" rank="3"/>
    <cfRule type="top10" dxfId="18" priority="10" rank="3"/>
  </conditionalFormatting>
  <conditionalFormatting sqref="J3:J48">
    <cfRule type="top10" dxfId="17" priority="7" bottom="1" rank="3"/>
    <cfRule type="top10" dxfId="16" priority="8" rank="3"/>
  </conditionalFormatting>
  <conditionalFormatting sqref="L3:L48">
    <cfRule type="top10" dxfId="15" priority="5" bottom="1" rank="3"/>
    <cfRule type="top10" dxfId="14" priority="6" rank="3"/>
  </conditionalFormatting>
  <conditionalFormatting sqref="O6:O51">
    <cfRule type="top10" dxfId="13" priority="1" bottom="1" rank="3"/>
    <cfRule type="top10" dxfId="12" priority="2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BASE</vt:lpstr>
      <vt:lpstr>DEV</vt:lpstr>
      <vt:lpstr>HBD</vt:lpstr>
      <vt:lpstr>Sheet1</vt:lpstr>
      <vt:lpstr>delete</vt:lpstr>
      <vt:lpstr>ALL_Done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terms:modified xsi:type="dcterms:W3CDTF">2025-09-29T18:23:55Z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1C0F84C9D6DF433EBD9F092C833A784E_12</vt:lpwstr>
  </property>
  <property fmtid="{D5CDD505-2E9C-101B-9397-08002B2CF9AE}" pid="3" name="KSOProductBuildVer">
    <vt:lpwstr>2052-12.1.0.21915</vt:lpwstr>
  </property>
</Properties>
</file>